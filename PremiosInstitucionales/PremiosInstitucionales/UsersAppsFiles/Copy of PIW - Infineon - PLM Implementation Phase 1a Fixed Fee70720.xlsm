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showInkAnnotation="0" codeName="ThisWorkbook"/>
  <mc:AlternateContent xmlns:mc="http://schemas.openxmlformats.org/markup-compatibility/2006">
    <mc:Choice Requires="x15">
      <x15ac:absPath xmlns:x15ac="http://schemas.microsoft.com/office/spreadsheetml/2010/11/ac" url="C:\Users\Tania Garrido\Documents\"/>
    </mc:Choice>
  </mc:AlternateContent>
  <bookViews>
    <workbookView xWindow="0" yWindow="0" windowWidth="28800" windowHeight="13413" activeTab="2" xr2:uid="{00000000-000D-0000-FFFF-FFFF00000000}"/>
  </bookViews>
  <sheets>
    <sheet name="FrontPage" sheetId="4" r:id="rId1"/>
    <sheet name="T&amp;M" sheetId="1" state="hidden" r:id="rId2"/>
    <sheet name="Fixed Fee" sheetId="7" r:id="rId3"/>
    <sheet name="QRM Checklist" sheetId="13" state="hidden" r:id="rId4"/>
    <sheet name="Firm Equivalent Help" sheetId="6" state="hidden" r:id="rId5"/>
    <sheet name="Data" sheetId="8" state="hidden" r:id="rId6"/>
    <sheet name="T&amp;M2" sheetId="10" state="hidden" r:id="rId7"/>
    <sheet name="FF2" sheetId="11" state="hidden" r:id="rId8"/>
  </sheets>
  <definedNames>
    <definedName name="_xlnm._FilterDatabase" localSheetId="2" hidden="1">'Fixed Fee'!#REF!</definedName>
    <definedName name="_xlnm._FilterDatabase" localSheetId="1" hidden="1">'T&amp;M'!#REF!</definedName>
    <definedName name="ContractType">Data!$AB$2:$AB$3</definedName>
    <definedName name="CPG">Tabla_CPG_1[CPG Segments]</definedName>
    <definedName name="CPG_1" localSheetId="5" hidden="1">Data!$AS$1:$AU$6</definedName>
    <definedName name="DeptList">Table_DEPTLIST_1[DeptList]</definedName>
    <definedName name="DEPTLIST_1" localSheetId="5" hidden="1">Data!$A$1:$D$27</definedName>
    <definedName name="EmplList">Table_EmplList3_1[EmplList3]</definedName>
    <definedName name="EmplList3">Table_EmplList3_1[EmplList3]</definedName>
    <definedName name="EmplList3_1" localSheetId="5" hidden="1">Data!$F$1:$J$170</definedName>
    <definedName name="High_Tech">Tabla_High_Tech_1[High Tech Segments]</definedName>
    <definedName name="High_Tech_1" localSheetId="5" hidden="1">Data!$AW$1:$AY$11</definedName>
    <definedName name="Industrial">Table_Industrial[Industrial Segments]</definedName>
    <definedName name="Industry">Tabla_industry_1[Industry]</definedName>
    <definedName name="industry_1" localSheetId="5" hidden="1">Data!$AO$1:$AQ$7</definedName>
    <definedName name="Level">Table_EmplList3_1[[EmplList3]:[EmplList3 Code]]</definedName>
    <definedName name="LevelNearShore">Table_NearShore_1[[NearShore]:[NearShore Code]]</definedName>
    <definedName name="LevelRates">Table_Rates[[Title]:[StdRates]]</definedName>
    <definedName name="Life_Sciences">Tabla_Life_Sciences_1[Life Sciences Segments]</definedName>
    <definedName name="Life_Sciences_1" localSheetId="5" hidden="1">Data!$BA$1:$BC$7</definedName>
    <definedName name="Manufacturing_1" localSheetId="5" hidden="1">Data!$BE$1:$BG$11</definedName>
    <definedName name="NearShore">Table_NearShore_1[NearShore]</definedName>
    <definedName name="NearShore_1" localSheetId="5" hidden="1">Data!$L$1:$P$71</definedName>
    <definedName name="Other">Tabla_Other_1[Other Segments]</definedName>
    <definedName name="Other_1" localSheetId="5" hidden="1">Data!$BM$1:$BO$3</definedName>
    <definedName name="owssvr" localSheetId="5" hidden="1">Data!#REF!</definedName>
    <definedName name="_xlnm.Print_Area" localSheetId="5">Data!#REF!</definedName>
    <definedName name="_xlnm.Print_Area" localSheetId="0">FrontPage!$A$1:$F$49</definedName>
    <definedName name="Rates" localSheetId="5" hidden="1">Data!$R$1:$U$48</definedName>
    <definedName name="Relationship">Tabla_Relationship_1[Relationship]</definedName>
    <definedName name="Relationship_1" localSheetId="5" hidden="1">Data!$AK$1:$AM$17</definedName>
    <definedName name="Retail">Tabla_Retail_1[Retail Segments]</definedName>
    <definedName name="Retail_1" localSheetId="5" hidden="1">Data!$BI$1:$BK$8</definedName>
    <definedName name="RlznRate" localSheetId="2">'Fixed Fee'!$H$3</definedName>
    <definedName name="RlznRate">'T&amp;M'!$D$2</definedName>
    <definedName name="SrMgrFellow" localSheetId="5" hidden="1">Data!$BQ$1:$BT$28</definedName>
    <definedName name="SrMgrFellow">Table_SrMgrFellow[SrMgrFellow]</definedName>
    <definedName name="State_or_Country" localSheetId="5" hidden="1">Data!$AG$1:$AI$77</definedName>
    <definedName name="States">Tabla_State_or_Country[State or Country]</definedName>
    <definedName name="SvcArea">Table_SvcArea_1[SvcArea]</definedName>
    <definedName name="SvcArea_1" localSheetId="5" hidden="1">Data!$W$1:$Z$23</definedName>
  </definedNames>
  <calcPr calcId="171027"/>
</workbook>
</file>

<file path=xl/calcChain.xml><?xml version="1.0" encoding="utf-8"?>
<calcChain xmlns="http://schemas.openxmlformats.org/spreadsheetml/2006/main">
  <c r="J51" i="7" l="1"/>
  <c r="D51" i="7"/>
  <c r="E51" i="7" s="1"/>
  <c r="J33" i="7"/>
  <c r="D33" i="7"/>
  <c r="E33" i="7"/>
  <c r="J50" i="7"/>
  <c r="D50" i="7"/>
  <c r="E50" i="7" s="1"/>
  <c r="F50" i="7" s="1"/>
  <c r="J49" i="7"/>
  <c r="D49" i="7"/>
  <c r="E49" i="7" s="1"/>
  <c r="J32" i="7"/>
  <c r="D32" i="7"/>
  <c r="E32" i="7"/>
  <c r="J31" i="7"/>
  <c r="D31" i="7"/>
  <c r="E31" i="7"/>
  <c r="E42" i="4"/>
  <c r="L8" i="1"/>
  <c r="L32" i="1"/>
  <c r="L9" i="1"/>
  <c r="L36" i="1"/>
  <c r="L29" i="1"/>
  <c r="L26" i="1"/>
  <c r="L25" i="1"/>
  <c r="L11" i="1"/>
  <c r="BY48" i="11"/>
  <c r="BX48" i="11"/>
  <c r="BW48" i="11"/>
  <c r="BV48" i="11"/>
  <c r="BU48" i="11"/>
  <c r="BT48" i="11"/>
  <c r="BS48" i="11"/>
  <c r="BR48" i="11"/>
  <c r="BQ48" i="11"/>
  <c r="BP48" i="11"/>
  <c r="BO48" i="11"/>
  <c r="BN48" i="11"/>
  <c r="BM48" i="11"/>
  <c r="BL48" i="11"/>
  <c r="BK48" i="11"/>
  <c r="BJ48" i="11"/>
  <c r="BI48" i="11"/>
  <c r="BH48" i="11"/>
  <c r="BG48" i="11"/>
  <c r="BF48" i="11"/>
  <c r="BE48" i="11"/>
  <c r="BD48" i="11"/>
  <c r="BC48" i="11"/>
  <c r="BB48" i="11"/>
  <c r="BA48" i="11"/>
  <c r="AZ48" i="11"/>
  <c r="AY48" i="11"/>
  <c r="AX48" i="11"/>
  <c r="AW48" i="11"/>
  <c r="AV48" i="11"/>
  <c r="AU48" i="11"/>
  <c r="AT48" i="11"/>
  <c r="AS48" i="11"/>
  <c r="AR48" i="11"/>
  <c r="AQ48" i="11"/>
  <c r="AP48" i="11"/>
  <c r="AO48" i="11"/>
  <c r="AN48" i="11"/>
  <c r="AM48" i="11"/>
  <c r="AL48" i="11"/>
  <c r="AK48" i="11"/>
  <c r="AJ48" i="11"/>
  <c r="AI48" i="11"/>
  <c r="AH48" i="11"/>
  <c r="AG48" i="11"/>
  <c r="AF48" i="11"/>
  <c r="AE48" i="11"/>
  <c r="AD48" i="11"/>
  <c r="AC48" i="11"/>
  <c r="AB48" i="11"/>
  <c r="AA48" i="11"/>
  <c r="Z48" i="11"/>
  <c r="Y48" i="11"/>
  <c r="X48" i="11"/>
  <c r="W48" i="11"/>
  <c r="V48" i="11"/>
  <c r="U48" i="11"/>
  <c r="T48" i="11"/>
  <c r="S48" i="11"/>
  <c r="R48" i="11"/>
  <c r="Q48" i="11"/>
  <c r="P48" i="11"/>
  <c r="O48" i="11"/>
  <c r="N48" i="11"/>
  <c r="M48" i="11"/>
  <c r="L48" i="11"/>
  <c r="K48" i="11"/>
  <c r="J48" i="11"/>
  <c r="I48" i="11"/>
  <c r="H48" i="11"/>
  <c r="G48" i="11"/>
  <c r="F48" i="11"/>
  <c r="E48" i="11"/>
  <c r="D48" i="11"/>
  <c r="C48" i="11"/>
  <c r="B48" i="11"/>
  <c r="A48" i="11"/>
  <c r="BY47" i="11"/>
  <c r="BX47" i="11"/>
  <c r="BW47" i="11"/>
  <c r="BV47" i="11"/>
  <c r="BU47" i="11"/>
  <c r="BT47" i="11"/>
  <c r="BS47" i="11"/>
  <c r="BR47" i="11"/>
  <c r="BQ47" i="11"/>
  <c r="BP47" i="11"/>
  <c r="BO47" i="11"/>
  <c r="BN47" i="11"/>
  <c r="BM47" i="11"/>
  <c r="BL47" i="11"/>
  <c r="BK47" i="11"/>
  <c r="BJ47" i="11"/>
  <c r="BI47" i="11"/>
  <c r="BH47" i="11"/>
  <c r="BG47" i="11"/>
  <c r="BF47" i="11"/>
  <c r="BE47" i="11"/>
  <c r="BD47" i="11"/>
  <c r="BC47" i="11"/>
  <c r="BB47" i="11"/>
  <c r="BA47" i="11"/>
  <c r="AZ47" i="11"/>
  <c r="AY47" i="11"/>
  <c r="AX47" i="11"/>
  <c r="AW47" i="11"/>
  <c r="AV47" i="11"/>
  <c r="AU47" i="11"/>
  <c r="AT47" i="11"/>
  <c r="AS47" i="11"/>
  <c r="AR47" i="11"/>
  <c r="AQ47" i="11"/>
  <c r="AP47" i="11"/>
  <c r="AO47" i="11"/>
  <c r="AN47" i="11"/>
  <c r="AM47" i="11"/>
  <c r="AL47" i="11"/>
  <c r="AK47" i="11"/>
  <c r="AJ47" i="11"/>
  <c r="AI47" i="11"/>
  <c r="AH47" i="11"/>
  <c r="AG47" i="11"/>
  <c r="AF47" i="11"/>
  <c r="AE47" i="11"/>
  <c r="AD47" i="11"/>
  <c r="AC47" i="11"/>
  <c r="AB47" i="11"/>
  <c r="AA47" i="11"/>
  <c r="Z47" i="11"/>
  <c r="Y47" i="11"/>
  <c r="X47" i="11"/>
  <c r="W47" i="11"/>
  <c r="V47" i="11"/>
  <c r="U47" i="11"/>
  <c r="T47" i="11"/>
  <c r="S47" i="11"/>
  <c r="R47" i="11"/>
  <c r="Q47" i="11"/>
  <c r="P47" i="11"/>
  <c r="O47" i="11"/>
  <c r="N47" i="11"/>
  <c r="M47" i="11"/>
  <c r="L47" i="11"/>
  <c r="K47" i="11"/>
  <c r="J47" i="11"/>
  <c r="I47" i="11"/>
  <c r="H47" i="11"/>
  <c r="G47" i="11"/>
  <c r="F47" i="11"/>
  <c r="E47" i="11"/>
  <c r="D47" i="11"/>
  <c r="C47" i="11"/>
  <c r="B47" i="11"/>
  <c r="A47" i="11"/>
  <c r="BY46" i="11"/>
  <c r="BX46" i="11"/>
  <c r="BW46" i="11"/>
  <c r="BV46" i="11"/>
  <c r="BU46" i="11"/>
  <c r="BT46" i="11"/>
  <c r="BS46" i="11"/>
  <c r="BR46" i="11"/>
  <c r="BQ46" i="11"/>
  <c r="BP46" i="11"/>
  <c r="BO46" i="11"/>
  <c r="BN46" i="11"/>
  <c r="BM46" i="11"/>
  <c r="BL46" i="11"/>
  <c r="BK46" i="11"/>
  <c r="BJ46" i="11"/>
  <c r="BI46" i="11"/>
  <c r="BH46" i="11"/>
  <c r="BG46" i="11"/>
  <c r="BF46" i="11"/>
  <c r="BE46" i="11"/>
  <c r="BD46" i="11"/>
  <c r="BC46" i="11"/>
  <c r="BB46" i="11"/>
  <c r="BA46" i="11"/>
  <c r="AZ46" i="11"/>
  <c r="AY46" i="11"/>
  <c r="AX46" i="11"/>
  <c r="AW46" i="11"/>
  <c r="AV46" i="11"/>
  <c r="AU46" i="11"/>
  <c r="AT46" i="11"/>
  <c r="AS46" i="11"/>
  <c r="AR46" i="11"/>
  <c r="AQ46" i="11"/>
  <c r="AP46" i="11"/>
  <c r="AO46" i="11"/>
  <c r="AN46" i="11"/>
  <c r="AM46" i="11"/>
  <c r="AL46" i="11"/>
  <c r="AK46" i="11"/>
  <c r="AJ46" i="11"/>
  <c r="AI46" i="11"/>
  <c r="AH46" i="11"/>
  <c r="AG46" i="11"/>
  <c r="AF46" i="11"/>
  <c r="AE46" i="11"/>
  <c r="AD46" i="11"/>
  <c r="AC46" i="11"/>
  <c r="AB46" i="11"/>
  <c r="AA46" i="11"/>
  <c r="Z46" i="11"/>
  <c r="Y46" i="11"/>
  <c r="X46" i="11"/>
  <c r="W46" i="11"/>
  <c r="V46" i="11"/>
  <c r="U46" i="11"/>
  <c r="T46" i="11"/>
  <c r="S46" i="11"/>
  <c r="R46" i="11"/>
  <c r="Q46" i="11"/>
  <c r="P46" i="11"/>
  <c r="O46" i="11"/>
  <c r="N46" i="11"/>
  <c r="M46" i="11"/>
  <c r="L46" i="11"/>
  <c r="K46" i="11"/>
  <c r="J46" i="11"/>
  <c r="I46" i="11"/>
  <c r="H46" i="11"/>
  <c r="G46" i="11"/>
  <c r="F46" i="11"/>
  <c r="E46" i="11"/>
  <c r="D46" i="11"/>
  <c r="C46" i="11"/>
  <c r="B46" i="11"/>
  <c r="A46" i="11"/>
  <c r="BY45" i="11"/>
  <c r="BX45" i="11"/>
  <c r="BW45" i="11"/>
  <c r="BV45" i="11"/>
  <c r="BU45" i="11"/>
  <c r="BT45" i="11"/>
  <c r="BS45" i="11"/>
  <c r="BR45" i="11"/>
  <c r="BQ45" i="11"/>
  <c r="BP45" i="11"/>
  <c r="BO45" i="11"/>
  <c r="BN45" i="11"/>
  <c r="BM45" i="11"/>
  <c r="BL45" i="11"/>
  <c r="BK45" i="11"/>
  <c r="BJ45" i="11"/>
  <c r="BI45" i="11"/>
  <c r="BH45" i="11"/>
  <c r="BG45" i="11"/>
  <c r="BF45" i="11"/>
  <c r="BE45" i="11"/>
  <c r="BD45" i="11"/>
  <c r="BC45" i="11"/>
  <c r="BB45" i="11"/>
  <c r="BA45" i="11"/>
  <c r="AZ45" i="11"/>
  <c r="AY45" i="11"/>
  <c r="AX45" i="11"/>
  <c r="AW45" i="11"/>
  <c r="AV45" i="11"/>
  <c r="AU45" i="11"/>
  <c r="AT45" i="11"/>
  <c r="AS45" i="11"/>
  <c r="AR45" i="11"/>
  <c r="AQ45" i="11"/>
  <c r="AP45" i="11"/>
  <c r="AO45" i="11"/>
  <c r="AN45" i="11"/>
  <c r="AM45" i="11"/>
  <c r="AL45" i="11"/>
  <c r="AK45" i="11"/>
  <c r="AJ45" i="11"/>
  <c r="AI45" i="11"/>
  <c r="AH45" i="11"/>
  <c r="AG45" i="11"/>
  <c r="AF45" i="11"/>
  <c r="AE45" i="11"/>
  <c r="AD45" i="11"/>
  <c r="AC45" i="11"/>
  <c r="AB45" i="11"/>
  <c r="AA45" i="11"/>
  <c r="Z45" i="11"/>
  <c r="Y45" i="11"/>
  <c r="X45" i="11"/>
  <c r="W45" i="11"/>
  <c r="V45" i="11"/>
  <c r="U45" i="11"/>
  <c r="T45" i="11"/>
  <c r="S45" i="11"/>
  <c r="R45" i="11"/>
  <c r="Q45" i="11"/>
  <c r="P45" i="11"/>
  <c r="O45" i="11"/>
  <c r="N45" i="11"/>
  <c r="M45" i="11"/>
  <c r="L45" i="11"/>
  <c r="K45" i="11"/>
  <c r="J45" i="11"/>
  <c r="I45" i="11"/>
  <c r="H45" i="11"/>
  <c r="G45" i="11"/>
  <c r="F45" i="11"/>
  <c r="E45" i="11"/>
  <c r="D45" i="11"/>
  <c r="C45" i="11"/>
  <c r="B45" i="11"/>
  <c r="A45" i="11"/>
  <c r="BY44" i="11"/>
  <c r="BX44" i="11"/>
  <c r="BW44" i="11"/>
  <c r="BV44" i="11"/>
  <c r="BU44" i="11"/>
  <c r="BT44" i="11"/>
  <c r="BS44" i="11"/>
  <c r="BR44" i="11"/>
  <c r="BQ44" i="11"/>
  <c r="BP44" i="11"/>
  <c r="BO44" i="11"/>
  <c r="BN44" i="11"/>
  <c r="BM44" i="11"/>
  <c r="BL44" i="11"/>
  <c r="BK44" i="11"/>
  <c r="BJ44" i="11"/>
  <c r="BI44" i="11"/>
  <c r="BH44" i="11"/>
  <c r="BG44" i="11"/>
  <c r="BF44" i="11"/>
  <c r="BE44" i="11"/>
  <c r="BD44" i="11"/>
  <c r="BC44" i="11"/>
  <c r="BB44" i="11"/>
  <c r="BA44" i="11"/>
  <c r="AZ44" i="11"/>
  <c r="AY44" i="11"/>
  <c r="AX44" i="11"/>
  <c r="AW44" i="11"/>
  <c r="AV44" i="11"/>
  <c r="AU44" i="11"/>
  <c r="AT44" i="11"/>
  <c r="AS44" i="11"/>
  <c r="AR44" i="11"/>
  <c r="AQ44" i="11"/>
  <c r="AP44" i="11"/>
  <c r="AO44" i="11"/>
  <c r="AN44" i="11"/>
  <c r="AM44" i="11"/>
  <c r="AL44" i="11"/>
  <c r="AK44" i="11"/>
  <c r="AJ44" i="11"/>
  <c r="AI44" i="11"/>
  <c r="AH44" i="11"/>
  <c r="AG44" i="11"/>
  <c r="AF44" i="11"/>
  <c r="AE44" i="11"/>
  <c r="AD44" i="11"/>
  <c r="AC44" i="11"/>
  <c r="AB44" i="11"/>
  <c r="AA44" i="11"/>
  <c r="Z44" i="11"/>
  <c r="Y44" i="11"/>
  <c r="X44" i="11"/>
  <c r="W44" i="11"/>
  <c r="V44" i="11"/>
  <c r="U44" i="11"/>
  <c r="T44" i="11"/>
  <c r="S44" i="11"/>
  <c r="R44" i="11"/>
  <c r="Q44" i="11"/>
  <c r="P44" i="11"/>
  <c r="O44" i="11"/>
  <c r="N44" i="11"/>
  <c r="M44" i="11"/>
  <c r="L44" i="11"/>
  <c r="K44" i="11"/>
  <c r="J44" i="11"/>
  <c r="I44" i="11"/>
  <c r="H44" i="11"/>
  <c r="G44" i="11"/>
  <c r="F44" i="11"/>
  <c r="E44" i="11"/>
  <c r="D44" i="11"/>
  <c r="C44" i="11"/>
  <c r="B44" i="11"/>
  <c r="A44" i="11"/>
  <c r="BY43" i="11"/>
  <c r="BX43" i="11"/>
  <c r="BW43" i="11"/>
  <c r="BV43" i="11"/>
  <c r="BU43" i="11"/>
  <c r="BT43" i="11"/>
  <c r="BS43" i="11"/>
  <c r="BR43" i="11"/>
  <c r="BQ43" i="11"/>
  <c r="BP43" i="11"/>
  <c r="BO43" i="11"/>
  <c r="BN43" i="11"/>
  <c r="BM43" i="11"/>
  <c r="BL43" i="11"/>
  <c r="BK43" i="11"/>
  <c r="BJ43" i="11"/>
  <c r="BI43" i="11"/>
  <c r="BH43" i="11"/>
  <c r="BG43" i="11"/>
  <c r="BF43" i="11"/>
  <c r="BE43" i="11"/>
  <c r="BD43" i="11"/>
  <c r="BC43" i="11"/>
  <c r="BB43"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D43" i="11"/>
  <c r="C43" i="11"/>
  <c r="B43" i="11"/>
  <c r="A43"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D42" i="11"/>
  <c r="C42" i="11"/>
  <c r="B42" i="11"/>
  <c r="A42"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D41" i="11"/>
  <c r="C41" i="11"/>
  <c r="B41" i="11"/>
  <c r="A41"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D40" i="11"/>
  <c r="C40" i="11"/>
  <c r="B40" i="11"/>
  <c r="A40"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D39" i="11"/>
  <c r="C39" i="11"/>
  <c r="B39" i="11"/>
  <c r="A39"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D38" i="11"/>
  <c r="C38" i="11"/>
  <c r="B38" i="11"/>
  <c r="A38"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D36" i="11"/>
  <c r="C36" i="11"/>
  <c r="B36" i="11"/>
  <c r="A36"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D35" i="11"/>
  <c r="C35" i="11"/>
  <c r="B35" i="11"/>
  <c r="A35"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D34" i="11"/>
  <c r="C34" i="11"/>
  <c r="B34" i="11"/>
  <c r="A34" i="11"/>
  <c r="BY33" i="11"/>
  <c r="BX33" i="11"/>
  <c r="BW33" i="11"/>
  <c r="BV33" i="11"/>
  <c r="BU33" i="11"/>
  <c r="BT33" i="11"/>
  <c r="BS33" i="11"/>
  <c r="BR33" i="11"/>
  <c r="BQ33" i="11"/>
  <c r="BP33" i="11"/>
  <c r="BO33" i="11"/>
  <c r="BN33" i="11"/>
  <c r="BM33" i="11"/>
  <c r="BL33" i="11"/>
  <c r="BK33" i="11"/>
  <c r="BJ33" i="11"/>
  <c r="BI33" i="11"/>
  <c r="BH33" i="11"/>
  <c r="BG33" i="11"/>
  <c r="BF33" i="11"/>
  <c r="BE33" i="11"/>
  <c r="BD33" i="11"/>
  <c r="BC33" i="11"/>
  <c r="BB33" i="11"/>
  <c r="BA33" i="11"/>
  <c r="AZ33" i="11"/>
  <c r="AY33" i="11"/>
  <c r="AX33" i="11"/>
  <c r="AW33" i="11"/>
  <c r="AV33" i="11"/>
  <c r="AU33" i="11"/>
  <c r="AT33" i="11"/>
  <c r="AS33" i="11"/>
  <c r="AR33" i="11"/>
  <c r="AQ33" i="11"/>
  <c r="AP33" i="11"/>
  <c r="AO33" i="11"/>
  <c r="AN33" i="11"/>
  <c r="AM33" i="11"/>
  <c r="AL33" i="11"/>
  <c r="AK33" i="11"/>
  <c r="AJ33" i="11"/>
  <c r="AI33" i="11"/>
  <c r="AH33" i="11"/>
  <c r="AG33" i="11"/>
  <c r="AF33" i="11"/>
  <c r="AE33" i="11"/>
  <c r="AD33" i="11"/>
  <c r="AC33" i="11"/>
  <c r="AB33" i="11"/>
  <c r="AA33" i="11"/>
  <c r="Z33" i="11"/>
  <c r="Y33" i="11"/>
  <c r="X33" i="11"/>
  <c r="W33" i="11"/>
  <c r="V33" i="11"/>
  <c r="U33" i="11"/>
  <c r="T33" i="11"/>
  <c r="S33" i="11"/>
  <c r="R33" i="11"/>
  <c r="Q33" i="11"/>
  <c r="P33" i="11"/>
  <c r="O33" i="11"/>
  <c r="N33" i="11"/>
  <c r="M33" i="11"/>
  <c r="L33" i="11"/>
  <c r="K33" i="11"/>
  <c r="J33" i="11"/>
  <c r="I33" i="11"/>
  <c r="H33" i="11"/>
  <c r="G33" i="11"/>
  <c r="F33" i="11"/>
  <c r="E33" i="11"/>
  <c r="D33" i="11"/>
  <c r="C33" i="11"/>
  <c r="B33" i="11"/>
  <c r="A33" i="11"/>
  <c r="BY32" i="11"/>
  <c r="BX32" i="11"/>
  <c r="BW32" i="11"/>
  <c r="BV32" i="11"/>
  <c r="BU32" i="11"/>
  <c r="BT32" i="11"/>
  <c r="BS32" i="11"/>
  <c r="BR32" i="11"/>
  <c r="BQ32" i="11"/>
  <c r="BP32" i="11"/>
  <c r="BO32" i="1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D32" i="11"/>
  <c r="C32" i="11"/>
  <c r="B32" i="11"/>
  <c r="A32" i="11"/>
  <c r="BY31" i="11"/>
  <c r="BX31" i="11"/>
  <c r="BW31" i="11"/>
  <c r="BV31" i="11"/>
  <c r="BU31" i="11"/>
  <c r="BT31" i="11"/>
  <c r="BS31" i="11"/>
  <c r="BR31" i="11"/>
  <c r="BQ31" i="11"/>
  <c r="BP31" i="11"/>
  <c r="BO31" i="11"/>
  <c r="BN31" i="11"/>
  <c r="BM31" i="11"/>
  <c r="BL31" i="11"/>
  <c r="BK31" i="11"/>
  <c r="BJ31" i="11"/>
  <c r="BI31" i="11"/>
  <c r="BH31" i="11"/>
  <c r="BG31" i="11"/>
  <c r="BF31" i="11"/>
  <c r="BE31" i="11"/>
  <c r="BD31" i="11"/>
  <c r="BC31" i="11"/>
  <c r="BB31"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K31" i="11"/>
  <c r="J31" i="11"/>
  <c r="I31" i="11"/>
  <c r="H31" i="11"/>
  <c r="G31" i="11"/>
  <c r="F31" i="11"/>
  <c r="E31" i="11"/>
  <c r="D31" i="11"/>
  <c r="C31" i="11"/>
  <c r="B31" i="11"/>
  <c r="A31" i="11"/>
  <c r="BY30" i="11"/>
  <c r="BX30" i="11"/>
  <c r="BW30" i="11"/>
  <c r="BV30" i="11"/>
  <c r="BU30" i="11"/>
  <c r="BT30" i="11"/>
  <c r="BS30" i="11"/>
  <c r="BR30" i="11"/>
  <c r="BQ30" i="11"/>
  <c r="BP30" i="11"/>
  <c r="BO30" i="11"/>
  <c r="BN30" i="11"/>
  <c r="BM30" i="11"/>
  <c r="BL30" i="11"/>
  <c r="BK30" i="11"/>
  <c r="BJ30" i="11"/>
  <c r="BI30" i="11"/>
  <c r="BH30" i="11"/>
  <c r="BG30" i="11"/>
  <c r="BF30" i="11"/>
  <c r="BE30" i="11"/>
  <c r="BD30" i="11"/>
  <c r="BC30" i="11"/>
  <c r="BB30"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K30" i="11"/>
  <c r="J30" i="11"/>
  <c r="I30" i="11"/>
  <c r="H30" i="11"/>
  <c r="G30" i="11"/>
  <c r="F30" i="11"/>
  <c r="E30" i="11"/>
  <c r="D30" i="11"/>
  <c r="C30" i="11"/>
  <c r="B30" i="11"/>
  <c r="A30" i="11"/>
  <c r="BY29" i="11"/>
  <c r="BX29" i="11"/>
  <c r="BW29" i="11"/>
  <c r="BV29" i="11"/>
  <c r="BU29" i="11"/>
  <c r="BT29" i="11"/>
  <c r="BS29" i="11"/>
  <c r="BR29" i="11"/>
  <c r="BQ29" i="11"/>
  <c r="BP29" i="11"/>
  <c r="BO29" i="11"/>
  <c r="BN29" i="11"/>
  <c r="BM29" i="11"/>
  <c r="BL29" i="11"/>
  <c r="BK29" i="11"/>
  <c r="BJ29" i="11"/>
  <c r="BI29" i="11"/>
  <c r="BH29" i="11"/>
  <c r="BG29" i="11"/>
  <c r="BF29" i="11"/>
  <c r="BE29" i="11"/>
  <c r="BD29" i="11"/>
  <c r="BC29" i="11"/>
  <c r="BB29"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K29" i="11"/>
  <c r="J29" i="11"/>
  <c r="I29" i="11"/>
  <c r="H29" i="11"/>
  <c r="G29" i="11"/>
  <c r="F29" i="11"/>
  <c r="E29" i="11"/>
  <c r="D29" i="11"/>
  <c r="C29" i="11"/>
  <c r="B29" i="11"/>
  <c r="A29" i="11"/>
  <c r="BY28" i="11"/>
  <c r="BX28" i="11"/>
  <c r="BW28" i="11"/>
  <c r="BV28" i="11"/>
  <c r="BU28" i="11"/>
  <c r="BT28" i="11"/>
  <c r="BS28" i="11"/>
  <c r="BR28" i="11"/>
  <c r="BQ28" i="11"/>
  <c r="BP28"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D28" i="11"/>
  <c r="C28" i="11"/>
  <c r="B28" i="11"/>
  <c r="A28"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D27" i="11"/>
  <c r="C27" i="11"/>
  <c r="B27" i="11"/>
  <c r="A27"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D26" i="11"/>
  <c r="C26" i="11"/>
  <c r="B26" i="11"/>
  <c r="A26" i="11"/>
  <c r="BY24" i="11"/>
  <c r="BX24" i="11"/>
  <c r="BW24" i="11"/>
  <c r="BV24" i="11"/>
  <c r="BU24" i="11"/>
  <c r="BT24" i="11"/>
  <c r="BS24" i="11"/>
  <c r="BR24" i="11"/>
  <c r="BQ24" i="11"/>
  <c r="BP24" i="11"/>
  <c r="BO24" i="11"/>
  <c r="BN24" i="11"/>
  <c r="BM24" i="11"/>
  <c r="BL24" i="11"/>
  <c r="BK24" i="11"/>
  <c r="BJ24" i="11"/>
  <c r="BI24" i="11"/>
  <c r="BH24" i="11"/>
  <c r="BG24" i="11"/>
  <c r="BF24" i="11"/>
  <c r="BE24" i="11"/>
  <c r="BD24" i="11"/>
  <c r="BC24" i="11"/>
  <c r="BB24" i="11"/>
  <c r="BA24" i="11"/>
  <c r="AZ24" i="11"/>
  <c r="AY24" i="11"/>
  <c r="AX24" i="11"/>
  <c r="AW24" i="11"/>
  <c r="AV24" i="11"/>
  <c r="AU24" i="11"/>
  <c r="AT24" i="11"/>
  <c r="AS24" i="11"/>
  <c r="AR24" i="11"/>
  <c r="AQ24" i="11"/>
  <c r="AP24" i="11"/>
  <c r="AO24" i="11"/>
  <c r="AN24" i="11"/>
  <c r="AM24" i="11"/>
  <c r="AL24" i="11"/>
  <c r="AK24" i="11"/>
  <c r="AJ24" i="11"/>
  <c r="AI24" i="11"/>
  <c r="AH24" i="11"/>
  <c r="AG24" i="11"/>
  <c r="AF24" i="11"/>
  <c r="AE24" i="11"/>
  <c r="AD24" i="11"/>
  <c r="AC24" i="11"/>
  <c r="AB24" i="11"/>
  <c r="AA24" i="11"/>
  <c r="Z24" i="11"/>
  <c r="Y24" i="11"/>
  <c r="X24" i="11"/>
  <c r="W24" i="11"/>
  <c r="V24" i="11"/>
  <c r="U24" i="11"/>
  <c r="T24" i="11"/>
  <c r="S24" i="11"/>
  <c r="R24" i="11"/>
  <c r="Q24" i="11"/>
  <c r="P24" i="11"/>
  <c r="O24" i="11"/>
  <c r="N24" i="11"/>
  <c r="M24" i="11"/>
  <c r="L24" i="11"/>
  <c r="K24" i="11"/>
  <c r="J24" i="11"/>
  <c r="I24" i="11"/>
  <c r="H24" i="11"/>
  <c r="G24" i="11"/>
  <c r="F24" i="11"/>
  <c r="E24" i="11"/>
  <c r="D24" i="11"/>
  <c r="C24" i="11"/>
  <c r="B24" i="11"/>
  <c r="A24" i="11"/>
  <c r="BY23" i="11"/>
  <c r="BX23" i="11"/>
  <c r="BW23" i="11"/>
  <c r="BV23" i="11"/>
  <c r="BU23" i="11"/>
  <c r="BT23" i="11"/>
  <c r="BS23" i="11"/>
  <c r="BR23" i="11"/>
  <c r="BQ23" i="11"/>
  <c r="BP23" i="11"/>
  <c r="BO23" i="11"/>
  <c r="BN23" i="11"/>
  <c r="BM23" i="11"/>
  <c r="BL23" i="11"/>
  <c r="BK23" i="11"/>
  <c r="BJ23" i="11"/>
  <c r="BI23" i="11"/>
  <c r="BH23" i="11"/>
  <c r="BG23" i="11"/>
  <c r="BF23" i="11"/>
  <c r="BE23" i="11"/>
  <c r="BD23" i="11"/>
  <c r="BC23" i="11"/>
  <c r="BB23" i="11"/>
  <c r="BA23" i="11"/>
  <c r="AZ23" i="11"/>
  <c r="AY23" i="11"/>
  <c r="AX23" i="11"/>
  <c r="AW23" i="11"/>
  <c r="AV23" i="11"/>
  <c r="AU23" i="11"/>
  <c r="AT23" i="11"/>
  <c r="AS23" i="11"/>
  <c r="AR23" i="11"/>
  <c r="AQ23" i="11"/>
  <c r="AP23" i="11"/>
  <c r="AO23" i="11"/>
  <c r="AN23" i="11"/>
  <c r="AM23" i="11"/>
  <c r="AL23" i="11"/>
  <c r="AK23" i="11"/>
  <c r="AJ23" i="11"/>
  <c r="AI23" i="11"/>
  <c r="AH23" i="11"/>
  <c r="AG23" i="11"/>
  <c r="AF23" i="11"/>
  <c r="AE23" i="11"/>
  <c r="AD23" i="11"/>
  <c r="AC23" i="11"/>
  <c r="AB23" i="11"/>
  <c r="AA23" i="11"/>
  <c r="Z23" i="11"/>
  <c r="Y23" i="11"/>
  <c r="X23" i="11"/>
  <c r="W23" i="11"/>
  <c r="V23" i="11"/>
  <c r="U23" i="11"/>
  <c r="T23" i="11"/>
  <c r="S23" i="11"/>
  <c r="R23" i="11"/>
  <c r="Q23" i="11"/>
  <c r="P23" i="11"/>
  <c r="O23" i="11"/>
  <c r="N23" i="11"/>
  <c r="M23" i="11"/>
  <c r="L23" i="11"/>
  <c r="K23" i="11"/>
  <c r="J23" i="11"/>
  <c r="I23" i="11"/>
  <c r="H23" i="11"/>
  <c r="G23" i="11"/>
  <c r="F23" i="11"/>
  <c r="E23" i="11"/>
  <c r="D23" i="11"/>
  <c r="C23" i="11"/>
  <c r="B23" i="11"/>
  <c r="A23" i="11"/>
  <c r="BY22" i="11"/>
  <c r="BX22" i="11"/>
  <c r="BW22" i="11"/>
  <c r="BV22" i="11"/>
  <c r="BU22" i="11"/>
  <c r="BT22" i="11"/>
  <c r="BS22" i="11"/>
  <c r="BR22" i="11"/>
  <c r="BQ22" i="11"/>
  <c r="BP22" i="11"/>
  <c r="BO22" i="11"/>
  <c r="BN22" i="11"/>
  <c r="BM22" i="11"/>
  <c r="BL22" i="11"/>
  <c r="BK22" i="11"/>
  <c r="BJ22" i="11"/>
  <c r="BI22" i="11"/>
  <c r="BH22" i="11"/>
  <c r="BG22" i="11"/>
  <c r="BF22" i="11"/>
  <c r="BE22" i="11"/>
  <c r="BD22"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D22" i="11"/>
  <c r="C22" i="11"/>
  <c r="B22" i="11"/>
  <c r="A22" i="11"/>
  <c r="BY21" i="11"/>
  <c r="BX21" i="11"/>
  <c r="BW21" i="11"/>
  <c r="BV21" i="11"/>
  <c r="BU21" i="11"/>
  <c r="BT21" i="11"/>
  <c r="BS21" i="11"/>
  <c r="BR21" i="11"/>
  <c r="BQ21" i="11"/>
  <c r="BP21" i="11"/>
  <c r="BO21" i="11"/>
  <c r="BN21" i="11"/>
  <c r="BM21" i="11"/>
  <c r="BL21" i="11"/>
  <c r="BK21" i="11"/>
  <c r="BJ21" i="11"/>
  <c r="BI21" i="11"/>
  <c r="BH21" i="11"/>
  <c r="BG21" i="11"/>
  <c r="BF21" i="11"/>
  <c r="BE21" i="11"/>
  <c r="BD21" i="11"/>
  <c r="BC21" i="11"/>
  <c r="BB21"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D21" i="11"/>
  <c r="C21" i="11"/>
  <c r="B21" i="11"/>
  <c r="A21"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D20" i="11"/>
  <c r="C20" i="11"/>
  <c r="B20" i="11"/>
  <c r="A20" i="11"/>
  <c r="BY19" i="11"/>
  <c r="BX19" i="11"/>
  <c r="BW19" i="11"/>
  <c r="BV19" i="11"/>
  <c r="BU19" i="11"/>
  <c r="BT19" i="11"/>
  <c r="BS19" i="11"/>
  <c r="BR19" i="11"/>
  <c r="BQ19" i="11"/>
  <c r="BP19" i="11"/>
  <c r="BO19" i="11"/>
  <c r="BN19" i="11"/>
  <c r="BM19" i="11"/>
  <c r="BL19" i="11"/>
  <c r="BK19" i="11"/>
  <c r="BJ19" i="11"/>
  <c r="BI19" i="11"/>
  <c r="BH19" i="11"/>
  <c r="BG19" i="11"/>
  <c r="BF19" i="11"/>
  <c r="BE19" i="11"/>
  <c r="BD19" i="11"/>
  <c r="BC19" i="11"/>
  <c r="BB19"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K19" i="11"/>
  <c r="J19" i="11"/>
  <c r="I19" i="11"/>
  <c r="H19" i="11"/>
  <c r="G19" i="11"/>
  <c r="F19" i="11"/>
  <c r="E19" i="11"/>
  <c r="D19" i="11"/>
  <c r="C19" i="11"/>
  <c r="B19" i="11"/>
  <c r="A19" i="11"/>
  <c r="BY18" i="11"/>
  <c r="BX18" i="11"/>
  <c r="BW18" i="11"/>
  <c r="BV18" i="11"/>
  <c r="BU18" i="11"/>
  <c r="BT18" i="11"/>
  <c r="BS18" i="11"/>
  <c r="BR18" i="11"/>
  <c r="BQ18" i="11"/>
  <c r="BP18" i="11"/>
  <c r="BO18" i="11"/>
  <c r="BN18" i="11"/>
  <c r="BM18" i="11"/>
  <c r="BL18" i="11"/>
  <c r="BK18" i="11"/>
  <c r="BJ18" i="11"/>
  <c r="BI18" i="11"/>
  <c r="BH18" i="11"/>
  <c r="BG18" i="11"/>
  <c r="BF18" i="11"/>
  <c r="BE18" i="11"/>
  <c r="BD18" i="11"/>
  <c r="BC18" i="11"/>
  <c r="BB18" i="11"/>
  <c r="BA18" i="11"/>
  <c r="AZ18" i="11"/>
  <c r="AY18" i="11"/>
  <c r="AX18" i="11"/>
  <c r="AW18" i="11"/>
  <c r="AV18" i="11"/>
  <c r="AU18" i="11"/>
  <c r="AT18" i="11"/>
  <c r="AS18" i="11"/>
  <c r="AR18" i="11"/>
  <c r="AQ18" i="11"/>
  <c r="AP18" i="11"/>
  <c r="AO18" i="11"/>
  <c r="AN18" i="11"/>
  <c r="AM18" i="11"/>
  <c r="AL18" i="11"/>
  <c r="AK18" i="11"/>
  <c r="AJ18" i="11"/>
  <c r="AI18" i="11"/>
  <c r="AH18" i="11"/>
  <c r="AG18" i="11"/>
  <c r="AF18" i="11"/>
  <c r="AE18" i="11"/>
  <c r="AD18" i="11"/>
  <c r="AC18" i="11"/>
  <c r="AB18" i="11"/>
  <c r="AA18" i="11"/>
  <c r="Z18" i="11"/>
  <c r="Y18" i="11"/>
  <c r="X18" i="11"/>
  <c r="W18" i="11"/>
  <c r="V18" i="11"/>
  <c r="U18" i="11"/>
  <c r="T18" i="11"/>
  <c r="S18" i="11"/>
  <c r="R18" i="11"/>
  <c r="Q18" i="11"/>
  <c r="P18" i="11"/>
  <c r="O18" i="11"/>
  <c r="N18" i="11"/>
  <c r="M18" i="11"/>
  <c r="L18" i="11"/>
  <c r="K18" i="11"/>
  <c r="J18" i="11"/>
  <c r="I18" i="11"/>
  <c r="H18" i="11"/>
  <c r="G18" i="11"/>
  <c r="F18" i="11"/>
  <c r="E18" i="11"/>
  <c r="D18" i="11"/>
  <c r="C18" i="11"/>
  <c r="B18" i="11"/>
  <c r="A18" i="11"/>
  <c r="BY17" i="11"/>
  <c r="BX17" i="11"/>
  <c r="BW17" i="11"/>
  <c r="BV17" i="11"/>
  <c r="BU17" i="11"/>
  <c r="BT17" i="11"/>
  <c r="BS17" i="11"/>
  <c r="BR17" i="11"/>
  <c r="BQ17" i="11"/>
  <c r="BP17" i="11"/>
  <c r="BO17" i="11"/>
  <c r="BN17" i="11"/>
  <c r="BM17" i="11"/>
  <c r="BL17" i="11"/>
  <c r="BK17" i="11"/>
  <c r="BJ17" i="11"/>
  <c r="BI17" i="11"/>
  <c r="BH17" i="11"/>
  <c r="BG17" i="11"/>
  <c r="BF17" i="11"/>
  <c r="BE17" i="11"/>
  <c r="BD17" i="11"/>
  <c r="BC17" i="11"/>
  <c r="BB17" i="11"/>
  <c r="BA17" i="11"/>
  <c r="AZ17" i="11"/>
  <c r="AY17" i="11"/>
  <c r="AX17" i="11"/>
  <c r="AW17" i="11"/>
  <c r="AV17" i="11"/>
  <c r="AU17" i="11"/>
  <c r="AT17" i="11"/>
  <c r="AS17" i="11"/>
  <c r="AR17" i="11"/>
  <c r="AQ17" i="11"/>
  <c r="AP17" i="11"/>
  <c r="AO17" i="11"/>
  <c r="AN17" i="11"/>
  <c r="AM17" i="11"/>
  <c r="AL17" i="11"/>
  <c r="AK17" i="11"/>
  <c r="AJ17" i="11"/>
  <c r="AI17" i="11"/>
  <c r="AH17" i="11"/>
  <c r="AG17" i="11"/>
  <c r="AF17" i="11"/>
  <c r="AE17" i="11"/>
  <c r="AD17" i="11"/>
  <c r="AC17" i="11"/>
  <c r="AB17" i="11"/>
  <c r="AA17" i="11"/>
  <c r="Z17" i="11"/>
  <c r="Y17" i="11"/>
  <c r="X17" i="11"/>
  <c r="W17" i="11"/>
  <c r="V17" i="11"/>
  <c r="U17" i="11"/>
  <c r="T17" i="11"/>
  <c r="S17" i="11"/>
  <c r="R17" i="11"/>
  <c r="Q17" i="11"/>
  <c r="P17" i="11"/>
  <c r="O17" i="11"/>
  <c r="N17" i="11"/>
  <c r="M17" i="11"/>
  <c r="L17" i="11"/>
  <c r="K17" i="11"/>
  <c r="J17" i="11"/>
  <c r="I17" i="11"/>
  <c r="H17" i="11"/>
  <c r="G17" i="11"/>
  <c r="F17" i="11"/>
  <c r="E17" i="11"/>
  <c r="D17" i="11"/>
  <c r="C17" i="11"/>
  <c r="B17" i="11"/>
  <c r="A17" i="11"/>
  <c r="BY16" i="11"/>
  <c r="BX16" i="11"/>
  <c r="BW16" i="11"/>
  <c r="BV16" i="11"/>
  <c r="BU16" i="11"/>
  <c r="BT16" i="11"/>
  <c r="BS16" i="11"/>
  <c r="BR16" i="11"/>
  <c r="BQ16" i="11"/>
  <c r="BP16" i="11"/>
  <c r="BO16" i="11"/>
  <c r="BN16" i="11"/>
  <c r="BM16" i="11"/>
  <c r="BL16" i="11"/>
  <c r="BK16" i="11"/>
  <c r="BJ16" i="11"/>
  <c r="BI16" i="11"/>
  <c r="BH16" i="11"/>
  <c r="BG16" i="11"/>
  <c r="BF16" i="11"/>
  <c r="BE16" i="11"/>
  <c r="BD16" i="11"/>
  <c r="BC16" i="11"/>
  <c r="BB16" i="11"/>
  <c r="BA16" i="11"/>
  <c r="AZ16" i="11"/>
  <c r="AY16" i="11"/>
  <c r="AX16" i="11"/>
  <c r="AW16" i="11"/>
  <c r="AV16" i="11"/>
  <c r="AU16" i="11"/>
  <c r="AT16" i="11"/>
  <c r="AS16" i="11"/>
  <c r="AR16" i="11"/>
  <c r="AQ16" i="11"/>
  <c r="AP16" i="11"/>
  <c r="AO16" i="11"/>
  <c r="AN16" i="11"/>
  <c r="AM16" i="11"/>
  <c r="AL16" i="11"/>
  <c r="AK16" i="11"/>
  <c r="AJ16" i="11"/>
  <c r="AI16" i="11"/>
  <c r="AH16" i="11"/>
  <c r="AG16" i="11"/>
  <c r="AF16" i="11"/>
  <c r="AE16" i="11"/>
  <c r="AD16" i="11"/>
  <c r="AC16" i="11"/>
  <c r="AB16" i="11"/>
  <c r="AA16" i="11"/>
  <c r="Z16" i="11"/>
  <c r="Y16" i="11"/>
  <c r="X16" i="11"/>
  <c r="W16" i="11"/>
  <c r="V16" i="11"/>
  <c r="U16" i="11"/>
  <c r="T16" i="11"/>
  <c r="S16" i="11"/>
  <c r="R16" i="11"/>
  <c r="Q16" i="11"/>
  <c r="P16" i="11"/>
  <c r="O16" i="11"/>
  <c r="N16" i="11"/>
  <c r="M16" i="11"/>
  <c r="L16" i="11"/>
  <c r="K16" i="11"/>
  <c r="J16" i="11"/>
  <c r="I16" i="11"/>
  <c r="H16" i="11"/>
  <c r="G16" i="11"/>
  <c r="F16" i="11"/>
  <c r="E16" i="11"/>
  <c r="D16" i="11"/>
  <c r="C16" i="11"/>
  <c r="B16" i="11"/>
  <c r="A16" i="11"/>
  <c r="BY15" i="11"/>
  <c r="BX15" i="11"/>
  <c r="BW15" i="11"/>
  <c r="BV15" i="11"/>
  <c r="BU15" i="11"/>
  <c r="BT15" i="11"/>
  <c r="BS15" i="11"/>
  <c r="BR15" i="11"/>
  <c r="BQ15" i="11"/>
  <c r="BP15" i="11"/>
  <c r="BO15" i="11"/>
  <c r="BN15" i="11"/>
  <c r="BM15" i="11"/>
  <c r="BL15" i="11"/>
  <c r="BK15" i="11"/>
  <c r="BJ15" i="11"/>
  <c r="BI15" i="11"/>
  <c r="BH15" i="11"/>
  <c r="BG15" i="11"/>
  <c r="BF15" i="11"/>
  <c r="BE15" i="11"/>
  <c r="BD15" i="11"/>
  <c r="BC15" i="11"/>
  <c r="BB15" i="11"/>
  <c r="BA15" i="11"/>
  <c r="AZ15" i="11"/>
  <c r="AY15" i="11"/>
  <c r="AX15" i="11"/>
  <c r="AW15" i="11"/>
  <c r="AV15" i="11"/>
  <c r="AU15" i="11"/>
  <c r="AT15" i="11"/>
  <c r="AS15"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H15" i="11"/>
  <c r="G15" i="11"/>
  <c r="F15" i="11"/>
  <c r="E15" i="11"/>
  <c r="D15" i="11"/>
  <c r="C15" i="11"/>
  <c r="B15" i="11"/>
  <c r="A15" i="11"/>
  <c r="BY14" i="11"/>
  <c r="BX14" i="11"/>
  <c r="BW14" i="11"/>
  <c r="BV14" i="11"/>
  <c r="BU14" i="11"/>
  <c r="BT14" i="11"/>
  <c r="BS14" i="11"/>
  <c r="BR14" i="11"/>
  <c r="BQ14" i="11"/>
  <c r="BP14"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D14" i="11"/>
  <c r="C14" i="11"/>
  <c r="B14" i="11"/>
  <c r="A14" i="11"/>
  <c r="BY13" i="11"/>
  <c r="BX13" i="11"/>
  <c r="BW13" i="11"/>
  <c r="BV13" i="11"/>
  <c r="BU13" i="11"/>
  <c r="BT13" i="11"/>
  <c r="BS13" i="11"/>
  <c r="BR13" i="11"/>
  <c r="BQ13" i="11"/>
  <c r="BP13" i="11"/>
  <c r="BO13" i="11"/>
  <c r="BN13" i="11"/>
  <c r="BM13" i="11"/>
  <c r="BL13" i="11"/>
  <c r="BK13" i="11"/>
  <c r="BJ13" i="11"/>
  <c r="BI13" i="11"/>
  <c r="BH13" i="11"/>
  <c r="BG13" i="11"/>
  <c r="BF13" i="11"/>
  <c r="BE13" i="11"/>
  <c r="BD13" i="11"/>
  <c r="BC13" i="11"/>
  <c r="BB13"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D13" i="11"/>
  <c r="C13" i="11"/>
  <c r="B13" i="11"/>
  <c r="A13" i="11"/>
  <c r="BY12" i="11"/>
  <c r="BX12" i="11"/>
  <c r="BW12" i="11"/>
  <c r="BV12" i="11"/>
  <c r="BU12" i="11"/>
  <c r="BT12" i="11"/>
  <c r="BS12" i="11"/>
  <c r="BR12" i="11"/>
  <c r="BQ12" i="11"/>
  <c r="BP12" i="11"/>
  <c r="BO12" i="11"/>
  <c r="BN12" i="11"/>
  <c r="BM12" i="11"/>
  <c r="BL12" i="11"/>
  <c r="BK12" i="11"/>
  <c r="BJ12" i="11"/>
  <c r="BI12" i="11"/>
  <c r="BH12" i="11"/>
  <c r="BG12" i="11"/>
  <c r="BF12" i="11"/>
  <c r="BE12" i="11"/>
  <c r="BD12" i="11"/>
  <c r="BC12" i="11"/>
  <c r="BB12"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D12" i="11"/>
  <c r="C12" i="11"/>
  <c r="B12" i="11"/>
  <c r="A12" i="11"/>
  <c r="BY11" i="11"/>
  <c r="BX11" i="11"/>
  <c r="BW11" i="11"/>
  <c r="BV11" i="11"/>
  <c r="BU11" i="11"/>
  <c r="BT11" i="11"/>
  <c r="BS11" i="11"/>
  <c r="BR11" i="11"/>
  <c r="BQ11" i="11"/>
  <c r="BP11" i="11"/>
  <c r="BO11" i="11"/>
  <c r="BN11" i="11"/>
  <c r="BM11" i="11"/>
  <c r="BL11" i="11"/>
  <c r="BK11" i="11"/>
  <c r="BJ11" i="11"/>
  <c r="BI11" i="11"/>
  <c r="BH11" i="11"/>
  <c r="BG11" i="11"/>
  <c r="BF11" i="11"/>
  <c r="BE11" i="11"/>
  <c r="BD11" i="11"/>
  <c r="BC11" i="11"/>
  <c r="BB11"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D11" i="11"/>
  <c r="C11" i="11"/>
  <c r="B11" i="11"/>
  <c r="A11" i="11"/>
  <c r="BY10" i="11"/>
  <c r="BX10" i="11"/>
  <c r="BW10" i="11"/>
  <c r="BV10" i="11"/>
  <c r="BU10" i="11"/>
  <c r="BT10" i="11"/>
  <c r="BS10" i="11"/>
  <c r="BR10" i="11"/>
  <c r="BQ10" i="11"/>
  <c r="BP10" i="11"/>
  <c r="BO10" i="11"/>
  <c r="BN10" i="11"/>
  <c r="BM10" i="11"/>
  <c r="BL10" i="11"/>
  <c r="BK10" i="11"/>
  <c r="BJ10" i="11"/>
  <c r="BI10" i="11"/>
  <c r="BH10" i="11"/>
  <c r="BG10" i="11"/>
  <c r="BF10" i="11"/>
  <c r="BE10" i="11"/>
  <c r="BD10"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D10" i="11"/>
  <c r="C10" i="11"/>
  <c r="B10" i="11"/>
  <c r="A10" i="11"/>
  <c r="BY9" i="11"/>
  <c r="BX9" i="11"/>
  <c r="BW9" i="11"/>
  <c r="BV9" i="11"/>
  <c r="BU9" i="11"/>
  <c r="BT9" i="11"/>
  <c r="BS9" i="11"/>
  <c r="BR9" i="11"/>
  <c r="BQ9" i="11"/>
  <c r="BP9" i="11"/>
  <c r="BO9" i="11"/>
  <c r="BN9" i="11"/>
  <c r="BM9" i="11"/>
  <c r="BL9" i="11"/>
  <c r="BK9" i="11"/>
  <c r="BJ9" i="11"/>
  <c r="BI9" i="11"/>
  <c r="BH9" i="11"/>
  <c r="BG9" i="11"/>
  <c r="BF9" i="11"/>
  <c r="BE9" i="11"/>
  <c r="BD9" i="11"/>
  <c r="BC9" i="11"/>
  <c r="BB9"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D9" i="11"/>
  <c r="C9" i="11"/>
  <c r="B9" i="11"/>
  <c r="A9" i="11"/>
  <c r="BY8" i="11"/>
  <c r="BX8" i="11"/>
  <c r="BW8" i="11"/>
  <c r="BV8" i="11"/>
  <c r="BU8" i="11"/>
  <c r="BT8" i="11"/>
  <c r="BS8" i="11"/>
  <c r="BR8" i="11"/>
  <c r="BQ8" i="11"/>
  <c r="BP8"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D8" i="11"/>
  <c r="C8" i="11"/>
  <c r="B8" i="11"/>
  <c r="A8" i="11"/>
  <c r="BY7" i="11"/>
  <c r="BX7" i="11"/>
  <c r="BW7" i="11"/>
  <c r="BV7" i="11"/>
  <c r="BU7" i="11"/>
  <c r="BT7" i="11"/>
  <c r="BS7" i="11"/>
  <c r="BR7" i="11"/>
  <c r="BQ7" i="11"/>
  <c r="BP7" i="11"/>
  <c r="BO7" i="11"/>
  <c r="BN7" i="11"/>
  <c r="BM7" i="11"/>
  <c r="BL7" i="11"/>
  <c r="BK7" i="11"/>
  <c r="BJ7" i="11"/>
  <c r="BI7" i="11"/>
  <c r="BH7" i="11"/>
  <c r="BG7" i="11"/>
  <c r="BF7" i="11"/>
  <c r="BE7" i="11"/>
  <c r="BD7" i="11"/>
  <c r="BC7" i="11"/>
  <c r="BB7"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D7" i="11"/>
  <c r="C7" i="11"/>
  <c r="B7" i="11"/>
  <c r="A7" i="11"/>
  <c r="BY6" i="11"/>
  <c r="BX6" i="11"/>
  <c r="BW6" i="11"/>
  <c r="BV6" i="11"/>
  <c r="BU6" i="11"/>
  <c r="BT6" i="11"/>
  <c r="BS6" i="11"/>
  <c r="BR6" i="11"/>
  <c r="BQ6" i="11"/>
  <c r="BP6" i="11"/>
  <c r="BO6" i="11"/>
  <c r="BN6" i="11"/>
  <c r="BM6" i="11"/>
  <c r="BL6" i="11"/>
  <c r="BK6" i="11"/>
  <c r="BJ6" i="11"/>
  <c r="BI6" i="11"/>
  <c r="BH6" i="11"/>
  <c r="BG6" i="11"/>
  <c r="BF6" i="11"/>
  <c r="BE6" i="11"/>
  <c r="BD6" i="11"/>
  <c r="BC6" i="11"/>
  <c r="BB6"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D6" i="11"/>
  <c r="C6" i="11"/>
  <c r="B6" i="11"/>
  <c r="A6" i="11"/>
  <c r="BY5" i="11"/>
  <c r="BX5" i="11"/>
  <c r="BW5" i="11"/>
  <c r="BV5" i="11"/>
  <c r="BU5" i="11"/>
  <c r="BT5" i="11"/>
  <c r="BS5" i="11"/>
  <c r="BR5" i="11"/>
  <c r="BQ5" i="11"/>
  <c r="BP5" i="11"/>
  <c r="BO5" i="11"/>
  <c r="BN5" i="11"/>
  <c r="BM5" i="11"/>
  <c r="BL5" i="11"/>
  <c r="BK5" i="11"/>
  <c r="BJ5" i="11"/>
  <c r="BI5" i="11"/>
  <c r="BH5" i="11"/>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C5" i="11"/>
  <c r="B5" i="11"/>
  <c r="A5" i="11"/>
  <c r="BY4" i="11"/>
  <c r="BX4" i="11"/>
  <c r="BW4" i="11"/>
  <c r="BV4" i="11"/>
  <c r="BU4" i="11"/>
  <c r="BT4" i="11"/>
  <c r="BS4" i="11"/>
  <c r="BR4" i="11"/>
  <c r="BQ4" i="11"/>
  <c r="BP4" i="11"/>
  <c r="BO4" i="11"/>
  <c r="BN4" i="11"/>
  <c r="BM4" i="11"/>
  <c r="BL4" i="11"/>
  <c r="BK4" i="11"/>
  <c r="BJ4" i="11"/>
  <c r="BI4" i="11"/>
  <c r="BH4" i="11"/>
  <c r="BG4" i="11"/>
  <c r="BF4" i="11"/>
  <c r="BE4" i="11"/>
  <c r="BD4" i="11"/>
  <c r="BC4" i="11"/>
  <c r="BB4"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D4" i="11"/>
  <c r="C4" i="11"/>
  <c r="B4" i="11"/>
  <c r="A4"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D3" i="11"/>
  <c r="C3" i="11"/>
  <c r="B3" i="11"/>
  <c r="A3"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K8" i="7"/>
  <c r="L8" i="7"/>
  <c r="A1" i="11"/>
  <c r="BA53" i="10"/>
  <c r="AZ53" i="10"/>
  <c r="AY53" i="10"/>
  <c r="AX53" i="10"/>
  <c r="AW53" i="10"/>
  <c r="AV53" i="10"/>
  <c r="AU53" i="10"/>
  <c r="AT53"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B53" i="10"/>
  <c r="A53" i="10"/>
  <c r="BA52" i="10"/>
  <c r="AZ52" i="10"/>
  <c r="AY52" i="10"/>
  <c r="AX52" i="10"/>
  <c r="AW52" i="10"/>
  <c r="AV52" i="10"/>
  <c r="AU52" i="10"/>
  <c r="AT52" i="10"/>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B52" i="10"/>
  <c r="A52" i="10"/>
  <c r="BA51" i="10"/>
  <c r="AZ51" i="10"/>
  <c r="AY51" i="10"/>
  <c r="AX51" i="10"/>
  <c r="AW51" i="10"/>
  <c r="AV51" i="10"/>
  <c r="AU51" i="10"/>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B51" i="10"/>
  <c r="A51" i="10"/>
  <c r="BA50" i="10"/>
  <c r="AZ50" i="10"/>
  <c r="AY50" i="10"/>
  <c r="AX50"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B50" i="10"/>
  <c r="A50" i="10"/>
  <c r="BA49" i="10"/>
  <c r="AZ49" i="10"/>
  <c r="AY49" i="10"/>
  <c r="AX49" i="10"/>
  <c r="AW49" i="10"/>
  <c r="AV49" i="10"/>
  <c r="AU49" i="10"/>
  <c r="AT49" i="10"/>
  <c r="AS49" i="10"/>
  <c r="AR49" i="10"/>
  <c r="AQ49" i="10"/>
  <c r="AP49" i="10"/>
  <c r="AO49" i="10"/>
  <c r="AN49" i="10"/>
  <c r="AM49" i="10"/>
  <c r="AL49" i="10"/>
  <c r="AK49" i="10"/>
  <c r="AJ49" i="10"/>
  <c r="AI49" i="10"/>
  <c r="AH49" i="10"/>
  <c r="AG49" i="10"/>
  <c r="AF49" i="10"/>
  <c r="AE49" i="10"/>
  <c r="AD49" i="10"/>
  <c r="AC49" i="10"/>
  <c r="AB49" i="10"/>
  <c r="AA49" i="10"/>
  <c r="Z49" i="10"/>
  <c r="Y49" i="10"/>
  <c r="X49" i="10"/>
  <c r="W49" i="10"/>
  <c r="V49" i="10"/>
  <c r="U49" i="10"/>
  <c r="T49" i="10"/>
  <c r="S49" i="10"/>
  <c r="R49" i="10"/>
  <c r="Q49" i="10"/>
  <c r="P49" i="10"/>
  <c r="O49" i="10"/>
  <c r="N49" i="10"/>
  <c r="M49" i="10"/>
  <c r="L49" i="10"/>
  <c r="K49" i="10"/>
  <c r="J49" i="10"/>
  <c r="I49" i="10"/>
  <c r="H49" i="10"/>
  <c r="G49" i="10"/>
  <c r="F49" i="10"/>
  <c r="E49" i="10"/>
  <c r="D49" i="10"/>
  <c r="C49" i="10"/>
  <c r="B49" i="10"/>
  <c r="A49" i="10"/>
  <c r="BA48" i="10"/>
  <c r="AZ48" i="10"/>
  <c r="AY48" i="10"/>
  <c r="AX48" i="10"/>
  <c r="AW48" i="10"/>
  <c r="AV48" i="10"/>
  <c r="AU48" i="10"/>
  <c r="AT48" i="10"/>
  <c r="AS48" i="10"/>
  <c r="AR48" i="10"/>
  <c r="AQ48" i="10"/>
  <c r="AP48" i="10"/>
  <c r="AO48" i="10"/>
  <c r="AN48" i="10"/>
  <c r="AM48" i="10"/>
  <c r="AL48" i="10"/>
  <c r="AK48" i="10"/>
  <c r="AJ48" i="10"/>
  <c r="AI48" i="10"/>
  <c r="AH48" i="10"/>
  <c r="AG48" i="10"/>
  <c r="AF48" i="10"/>
  <c r="AE48" i="10"/>
  <c r="AD48" i="10"/>
  <c r="AC48" i="10"/>
  <c r="AB48" i="10"/>
  <c r="AA48" i="10"/>
  <c r="Z48" i="10"/>
  <c r="Y48" i="10"/>
  <c r="X48" i="10"/>
  <c r="W48" i="10"/>
  <c r="V48" i="10"/>
  <c r="U48" i="10"/>
  <c r="T48" i="10"/>
  <c r="S48" i="10"/>
  <c r="R48" i="10"/>
  <c r="Q48" i="10"/>
  <c r="P48" i="10"/>
  <c r="O48" i="10"/>
  <c r="N48" i="10"/>
  <c r="M48" i="10"/>
  <c r="L48" i="10"/>
  <c r="K48" i="10"/>
  <c r="J48" i="10"/>
  <c r="I48" i="10"/>
  <c r="H48" i="10"/>
  <c r="G48" i="10"/>
  <c r="F48" i="10"/>
  <c r="E48" i="10"/>
  <c r="D48" i="10"/>
  <c r="C48" i="10"/>
  <c r="B48" i="10"/>
  <c r="A48" i="10"/>
  <c r="BA47" i="10"/>
  <c r="AZ47" i="10"/>
  <c r="AY47" i="10"/>
  <c r="AX47" i="10"/>
  <c r="AW47" i="10"/>
  <c r="AV47" i="10"/>
  <c r="AU47" i="10"/>
  <c r="AT47" i="10"/>
  <c r="AS47" i="10"/>
  <c r="AR47" i="10"/>
  <c r="AQ47" i="10"/>
  <c r="AP47" i="10"/>
  <c r="AO47" i="10"/>
  <c r="AN47" i="10"/>
  <c r="AM47" i="10"/>
  <c r="AL47" i="10"/>
  <c r="AK47" i="10"/>
  <c r="AJ47" i="10"/>
  <c r="AI47" i="10"/>
  <c r="AH47" i="10"/>
  <c r="AG47" i="10"/>
  <c r="AF47" i="10"/>
  <c r="AE47" i="10"/>
  <c r="AD47" i="10"/>
  <c r="AC47" i="10"/>
  <c r="AB47" i="10"/>
  <c r="AA47" i="10"/>
  <c r="Z47" i="10"/>
  <c r="Y47" i="10"/>
  <c r="X47" i="10"/>
  <c r="W47" i="10"/>
  <c r="V47" i="10"/>
  <c r="U47" i="10"/>
  <c r="T47" i="10"/>
  <c r="S47" i="10"/>
  <c r="R47" i="10"/>
  <c r="Q47" i="10"/>
  <c r="P47" i="10"/>
  <c r="O47" i="10"/>
  <c r="N47" i="10"/>
  <c r="M47" i="10"/>
  <c r="L47" i="10"/>
  <c r="K47" i="10"/>
  <c r="J47" i="10"/>
  <c r="I47" i="10"/>
  <c r="H47" i="10"/>
  <c r="G47" i="10"/>
  <c r="F47" i="10"/>
  <c r="E47" i="10"/>
  <c r="D47" i="10"/>
  <c r="C47" i="10"/>
  <c r="B47" i="10"/>
  <c r="A47"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E46" i="10"/>
  <c r="D46" i="10"/>
  <c r="C46" i="10"/>
  <c r="B46" i="10"/>
  <c r="A46"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B45" i="10"/>
  <c r="A45" i="10"/>
  <c r="BA44" i="10"/>
  <c r="AZ44" i="10"/>
  <c r="AY44" i="10"/>
  <c r="AX44" i="10"/>
  <c r="AW44" i="10"/>
  <c r="AV44" i="10"/>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B44" i="10"/>
  <c r="A44" i="10"/>
  <c r="BA43" i="10"/>
  <c r="AZ43" i="10"/>
  <c r="AY43" i="10"/>
  <c r="AX43" i="10"/>
  <c r="AW43" i="10"/>
  <c r="AV43" i="10"/>
  <c r="AU43" i="10"/>
  <c r="AT43"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B43" i="10"/>
  <c r="A43" i="10"/>
  <c r="A42" i="10"/>
  <c r="BA41" i="10"/>
  <c r="AZ41" i="10"/>
  <c r="AY41" i="10"/>
  <c r="AX41" i="10"/>
  <c r="AW41"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B41" i="10"/>
  <c r="A41" i="10"/>
  <c r="BA40" i="10"/>
  <c r="AZ40" i="10"/>
  <c r="AY40" i="10"/>
  <c r="AX40" i="10"/>
  <c r="AW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B40" i="10"/>
  <c r="A40" i="10"/>
  <c r="BA39" i="10"/>
  <c r="AZ39" i="10"/>
  <c r="AY39" i="10"/>
  <c r="AX39" i="10"/>
  <c r="AW39" i="10"/>
  <c r="AV39"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B39" i="10"/>
  <c r="A39" i="10"/>
  <c r="BA38" i="10"/>
  <c r="AZ38" i="10"/>
  <c r="AY38" i="10"/>
  <c r="AX38" i="10"/>
  <c r="AW38" i="10"/>
  <c r="AV38" i="10"/>
  <c r="AU38" i="10"/>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B38" i="10"/>
  <c r="A38"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B37" i="10"/>
  <c r="A37" i="10"/>
  <c r="BA36" i="10"/>
  <c r="AZ36" i="10"/>
  <c r="AY36" i="10"/>
  <c r="AX36" i="10"/>
  <c r="AW36" i="10"/>
  <c r="AV36" i="10"/>
  <c r="AU36" i="10"/>
  <c r="AT36" i="10"/>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B36" i="10"/>
  <c r="A36" i="10"/>
  <c r="BA35" i="10"/>
  <c r="AZ35" i="10"/>
  <c r="AY35" i="10"/>
  <c r="AX35" i="10"/>
  <c r="AW35" i="10"/>
  <c r="AV35" i="10"/>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B35" i="10"/>
  <c r="A35"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B34" i="10"/>
  <c r="A34" i="10"/>
  <c r="BA33" i="10"/>
  <c r="AZ33" i="10"/>
  <c r="AY33" i="10"/>
  <c r="AX33" i="10"/>
  <c r="AW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B33" i="10"/>
  <c r="A33" i="10"/>
  <c r="BA32" i="10"/>
  <c r="AZ32" i="10"/>
  <c r="AY32" i="10"/>
  <c r="AX32" i="10"/>
  <c r="AW32" i="10"/>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B32" i="10"/>
  <c r="A32" i="10"/>
  <c r="BA31" i="10"/>
  <c r="AZ31" i="10"/>
  <c r="AY31" i="10"/>
  <c r="AX31"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B31" i="10"/>
  <c r="A31"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B30" i="10"/>
  <c r="A30" i="10"/>
  <c r="A29"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B28" i="10"/>
  <c r="A28" i="10"/>
  <c r="BA27" i="10"/>
  <c r="AZ27" i="10"/>
  <c r="AY27" i="10"/>
  <c r="AX27" i="10"/>
  <c r="AW27" i="10"/>
  <c r="AV27" i="10"/>
  <c r="AU27" i="10"/>
  <c r="AT27" i="10"/>
  <c r="AS27" i="10"/>
  <c r="AR27" i="10"/>
  <c r="AQ27" i="10"/>
  <c r="AP27" i="10"/>
  <c r="AO27" i="10"/>
  <c r="AN27" i="10"/>
  <c r="AM27" i="10"/>
  <c r="AL27" i="10"/>
  <c r="AK27" i="10"/>
  <c r="AJ27" i="10"/>
  <c r="AI27" i="10"/>
  <c r="AH27" i="10"/>
  <c r="AG27" i="10"/>
  <c r="AF27" i="10"/>
  <c r="AE27" i="10"/>
  <c r="AD27" i="10"/>
  <c r="AC27" i="10"/>
  <c r="AB27" i="10"/>
  <c r="AA27" i="10"/>
  <c r="Z27" i="10"/>
  <c r="Y27" i="10"/>
  <c r="X27" i="10"/>
  <c r="W27" i="10"/>
  <c r="V27" i="10"/>
  <c r="U27" i="10"/>
  <c r="T27" i="10"/>
  <c r="S27" i="10"/>
  <c r="R27" i="10"/>
  <c r="Q27" i="10"/>
  <c r="P27" i="10"/>
  <c r="O27" i="10"/>
  <c r="N27" i="10"/>
  <c r="M27" i="10"/>
  <c r="L27" i="10"/>
  <c r="K27" i="10"/>
  <c r="J27" i="10"/>
  <c r="I27" i="10"/>
  <c r="H27" i="10"/>
  <c r="G27" i="10"/>
  <c r="F27" i="10"/>
  <c r="E27" i="10"/>
  <c r="D27" i="10"/>
  <c r="C27" i="10"/>
  <c r="B27" i="10"/>
  <c r="A27" i="10"/>
  <c r="BA26" i="10"/>
  <c r="AZ26" i="10"/>
  <c r="AY26" i="10"/>
  <c r="AX26" i="10"/>
  <c r="AW26" i="10"/>
  <c r="AV26" i="10"/>
  <c r="AU26" i="10"/>
  <c r="AT26" i="10"/>
  <c r="AS26" i="10"/>
  <c r="AR26" i="10"/>
  <c r="AQ26" i="10"/>
  <c r="AP26" i="10"/>
  <c r="AO26" i="10"/>
  <c r="AN26" i="10"/>
  <c r="AM26" i="10"/>
  <c r="AL26" i="10"/>
  <c r="AK26" i="10"/>
  <c r="AJ26" i="10"/>
  <c r="AI26" i="10"/>
  <c r="AH26" i="10"/>
  <c r="AG26" i="10"/>
  <c r="AF26" i="10"/>
  <c r="AE26" i="10"/>
  <c r="AD26" i="10"/>
  <c r="AC26" i="10"/>
  <c r="AB26" i="10"/>
  <c r="AA26" i="10"/>
  <c r="Z26" i="10"/>
  <c r="Y26" i="10"/>
  <c r="X26" i="10"/>
  <c r="W26" i="10"/>
  <c r="V26" i="10"/>
  <c r="U26" i="10"/>
  <c r="T26" i="10"/>
  <c r="S26" i="10"/>
  <c r="R26" i="10"/>
  <c r="Q26" i="10"/>
  <c r="P26" i="10"/>
  <c r="O26" i="10"/>
  <c r="N26" i="10"/>
  <c r="M26" i="10"/>
  <c r="L26" i="10"/>
  <c r="K26" i="10"/>
  <c r="J26" i="10"/>
  <c r="I26" i="10"/>
  <c r="H26" i="10"/>
  <c r="G26" i="10"/>
  <c r="F26" i="10"/>
  <c r="E26" i="10"/>
  <c r="D26" i="10"/>
  <c r="C26" i="10"/>
  <c r="B26" i="10"/>
  <c r="A26" i="10"/>
  <c r="BA25" i="10"/>
  <c r="AZ25" i="10"/>
  <c r="AY25" i="10"/>
  <c r="AX25" i="10"/>
  <c r="AW25" i="10"/>
  <c r="AV25" i="10"/>
  <c r="AU25" i="10"/>
  <c r="AT25" i="10"/>
  <c r="AS25" i="10"/>
  <c r="AR25" i="10"/>
  <c r="AQ25" i="10"/>
  <c r="AP25" i="10"/>
  <c r="AO25" i="10"/>
  <c r="AN25" i="10"/>
  <c r="AM25" i="10"/>
  <c r="AL25" i="10"/>
  <c r="AK25" i="10"/>
  <c r="AJ25" i="10"/>
  <c r="AI25" i="10"/>
  <c r="AH25" i="10"/>
  <c r="AG25" i="10"/>
  <c r="AF25" i="10"/>
  <c r="AE25" i="10"/>
  <c r="AD25" i="10"/>
  <c r="AC25" i="10"/>
  <c r="AB25" i="10"/>
  <c r="AA25" i="10"/>
  <c r="Z25" i="10"/>
  <c r="Y25" i="10"/>
  <c r="X25" i="10"/>
  <c r="W25" i="10"/>
  <c r="V25" i="10"/>
  <c r="U25" i="10"/>
  <c r="T25" i="10"/>
  <c r="S25" i="10"/>
  <c r="R25" i="10"/>
  <c r="Q25" i="10"/>
  <c r="P25" i="10"/>
  <c r="O25" i="10"/>
  <c r="N25" i="10"/>
  <c r="M25" i="10"/>
  <c r="L25" i="10"/>
  <c r="K25" i="10"/>
  <c r="J25" i="10"/>
  <c r="I25" i="10"/>
  <c r="H25" i="10"/>
  <c r="G25" i="10"/>
  <c r="F25" i="10"/>
  <c r="E25" i="10"/>
  <c r="D25" i="10"/>
  <c r="C25" i="10"/>
  <c r="B25" i="10"/>
  <c r="A25" i="10"/>
  <c r="BA24" i="10"/>
  <c r="AZ24" i="10"/>
  <c r="AY24" i="10"/>
  <c r="AX24" i="10"/>
  <c r="AW24" i="10"/>
  <c r="AV24" i="10"/>
  <c r="AU24" i="10"/>
  <c r="AT24" i="10"/>
  <c r="AS24" i="10"/>
  <c r="AR24" i="10"/>
  <c r="AQ24" i="10"/>
  <c r="AP24" i="10"/>
  <c r="AO24" i="10"/>
  <c r="AN24" i="10"/>
  <c r="AM24" i="10"/>
  <c r="AL24" i="10"/>
  <c r="AK24" i="10"/>
  <c r="AJ24" i="10"/>
  <c r="AI24" i="10"/>
  <c r="AH24" i="10"/>
  <c r="AG24" i="10"/>
  <c r="AF24" i="10"/>
  <c r="AE24" i="10"/>
  <c r="AD24" i="10"/>
  <c r="AC24" i="10"/>
  <c r="AB24" i="10"/>
  <c r="AA24" i="10"/>
  <c r="Z24" i="10"/>
  <c r="Y24" i="10"/>
  <c r="X24" i="10"/>
  <c r="W24" i="10"/>
  <c r="V24" i="10"/>
  <c r="U24" i="10"/>
  <c r="T24" i="10"/>
  <c r="S24" i="10"/>
  <c r="R24" i="10"/>
  <c r="Q24" i="10"/>
  <c r="P24" i="10"/>
  <c r="O24" i="10"/>
  <c r="N24" i="10"/>
  <c r="M24" i="10"/>
  <c r="L24" i="10"/>
  <c r="K24" i="10"/>
  <c r="J24" i="10"/>
  <c r="I24" i="10"/>
  <c r="H24" i="10"/>
  <c r="G24" i="10"/>
  <c r="F24" i="10"/>
  <c r="E24" i="10"/>
  <c r="D24" i="10"/>
  <c r="C24" i="10"/>
  <c r="B24" i="10"/>
  <c r="A24" i="10"/>
  <c r="BA23" i="10"/>
  <c r="AZ23" i="10"/>
  <c r="AY23" i="10"/>
  <c r="AX23"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B23" i="10"/>
  <c r="A23" i="10"/>
  <c r="BA22" i="10"/>
  <c r="AZ22" i="10"/>
  <c r="AY22" i="10"/>
  <c r="AX22"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B22" i="10"/>
  <c r="A22" i="10"/>
  <c r="BA21" i="10"/>
  <c r="AZ21" i="10"/>
  <c r="AY21" i="10"/>
  <c r="AX21" i="10"/>
  <c r="AW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B21" i="10"/>
  <c r="A21"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B20" i="10"/>
  <c r="A20"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B19" i="10"/>
  <c r="A19" i="10"/>
  <c r="BA18" i="10"/>
  <c r="AZ18" i="10"/>
  <c r="AY18" i="10"/>
  <c r="AX18"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B18" i="10"/>
  <c r="A18" i="10"/>
  <c r="BA17" i="10"/>
  <c r="AZ17" i="10"/>
  <c r="AY17" i="10"/>
  <c r="AX17" i="10"/>
  <c r="AW17" i="10"/>
  <c r="AV17"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B17" i="10"/>
  <c r="A17"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B16" i="10"/>
  <c r="A16" i="10"/>
  <c r="BA15" i="10"/>
  <c r="AZ15" i="10"/>
  <c r="AY15" i="10"/>
  <c r="AX15" i="10"/>
  <c r="AW15" i="10"/>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B15" i="10"/>
  <c r="A15"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B14" i="10"/>
  <c r="A14" i="10"/>
  <c r="BA13" i="10"/>
  <c r="AZ13" i="10"/>
  <c r="AY13" i="10"/>
  <c r="AX13"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B13" i="10"/>
  <c r="A13"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B12" i="10"/>
  <c r="A12"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B11" i="10"/>
  <c r="A11"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B10" i="10"/>
  <c r="A10" i="10"/>
  <c r="BA9" i="10"/>
  <c r="AZ9" i="10"/>
  <c r="AY9" i="10"/>
  <c r="AX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B9" i="10"/>
  <c r="A9" i="10"/>
  <c r="BA8" i="10"/>
  <c r="AZ8" i="10"/>
  <c r="AY8" i="10"/>
  <c r="AX8"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B8" i="10"/>
  <c r="A8" i="10"/>
  <c r="BA7" i="10"/>
  <c r="AZ7" i="10"/>
  <c r="AY7" i="10"/>
  <c r="AX7" i="10"/>
  <c r="AW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B7" i="10"/>
  <c r="A7"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B6" i="10"/>
  <c r="A6" i="10"/>
  <c r="BA5" i="10"/>
  <c r="AZ5" i="10"/>
  <c r="AY5" i="10"/>
  <c r="AX5" i="10"/>
  <c r="AW5" i="10"/>
  <c r="AV5" i="10"/>
  <c r="AU5" i="10"/>
  <c r="AT5" i="10"/>
  <c r="AS5" i="10"/>
  <c r="AR5" i="10"/>
  <c r="AQ5" i="10"/>
  <c r="AP5" i="10"/>
  <c r="AO5" i="10"/>
  <c r="AN5" i="10"/>
  <c r="AM5" i="10"/>
  <c r="AL5" i="10"/>
  <c r="AK5" i="10"/>
  <c r="AJ5" i="10"/>
  <c r="AI5" i="10"/>
  <c r="AH5" i="10"/>
  <c r="AG5" i="10"/>
  <c r="AF5" i="10"/>
  <c r="AE5" i="10"/>
  <c r="AD5" i="10"/>
  <c r="AC5" i="10"/>
  <c r="AB5" i="10"/>
  <c r="AA5" i="10"/>
  <c r="Z5" i="10"/>
  <c r="Y5" i="10"/>
  <c r="X5" i="10"/>
  <c r="W5" i="10"/>
  <c r="V5" i="10"/>
  <c r="U5" i="10"/>
  <c r="T5" i="10"/>
  <c r="S5" i="10"/>
  <c r="R5" i="10"/>
  <c r="Q5" i="10"/>
  <c r="P5" i="10"/>
  <c r="O5" i="10"/>
  <c r="N5" i="10"/>
  <c r="M5" i="10"/>
  <c r="L5" i="10"/>
  <c r="K5" i="10"/>
  <c r="J5" i="10"/>
  <c r="I5" i="10"/>
  <c r="H5" i="10"/>
  <c r="G5" i="10"/>
  <c r="F5" i="10"/>
  <c r="E5" i="10"/>
  <c r="D5" i="10"/>
  <c r="C5" i="10"/>
  <c r="B5" i="10"/>
  <c r="A5"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D4" i="10"/>
  <c r="C4" i="10"/>
  <c r="B4" i="10"/>
  <c r="A4"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D2" i="10"/>
  <c r="C2" i="10"/>
  <c r="B2" i="10"/>
  <c r="M5" i="1"/>
  <c r="A1" i="10"/>
  <c r="AE3" i="8"/>
  <c r="D75" i="7"/>
  <c r="D74" i="7"/>
  <c r="D73" i="7"/>
  <c r="D72" i="7"/>
  <c r="D71" i="7"/>
  <c r="D70" i="7"/>
  <c r="D69" i="7"/>
  <c r="CH68" i="7"/>
  <c r="CG68" i="7"/>
  <c r="CF68" i="7"/>
  <c r="CE68" i="7"/>
  <c r="CD68" i="7"/>
  <c r="CC68" i="7"/>
  <c r="CB68" i="7"/>
  <c r="CA68" i="7"/>
  <c r="BZ68" i="7"/>
  <c r="BY68" i="7"/>
  <c r="BX68" i="7"/>
  <c r="BW68" i="7"/>
  <c r="BV68" i="7"/>
  <c r="BU68" i="7"/>
  <c r="BT68" i="7"/>
  <c r="BS68" i="7"/>
  <c r="BR68" i="7"/>
  <c r="BQ68" i="7"/>
  <c r="BP68" i="7"/>
  <c r="BO68" i="7"/>
  <c r="BN68" i="7"/>
  <c r="BM68" i="7"/>
  <c r="BL68" i="7"/>
  <c r="BK68" i="7"/>
  <c r="BJ68" i="7"/>
  <c r="BI68" i="7"/>
  <c r="BH68" i="7"/>
  <c r="BG68" i="7"/>
  <c r="BF68" i="7"/>
  <c r="BE68" i="7"/>
  <c r="BD68" i="7"/>
  <c r="BC68" i="7"/>
  <c r="BB68" i="7"/>
  <c r="BA68" i="7"/>
  <c r="AZ68" i="7"/>
  <c r="AY68" i="7"/>
  <c r="AX68" i="7"/>
  <c r="AW68" i="7"/>
  <c r="AV68" i="7"/>
  <c r="AU68" i="7"/>
  <c r="AT68" i="7"/>
  <c r="AS68" i="7"/>
  <c r="AR68" i="7"/>
  <c r="AQ68" i="7"/>
  <c r="AP68" i="7"/>
  <c r="AO68" i="7"/>
  <c r="AN68" i="7"/>
  <c r="AM68" i="7"/>
  <c r="AL68" i="7"/>
  <c r="AK68" i="7"/>
  <c r="AJ68" i="7"/>
  <c r="AI68" i="7"/>
  <c r="AH68" i="7"/>
  <c r="AG68" i="7"/>
  <c r="AF68" i="7"/>
  <c r="AE68" i="7"/>
  <c r="AD68" i="7"/>
  <c r="AC68" i="7"/>
  <c r="AB68" i="7"/>
  <c r="AA68" i="7"/>
  <c r="Z68" i="7"/>
  <c r="Y68" i="7"/>
  <c r="X68" i="7"/>
  <c r="W68" i="7"/>
  <c r="V68" i="7"/>
  <c r="U68" i="7"/>
  <c r="T68" i="7"/>
  <c r="S68" i="7"/>
  <c r="R68" i="7"/>
  <c r="Q68" i="7"/>
  <c r="P68" i="7"/>
  <c r="O68" i="7"/>
  <c r="N68" i="7"/>
  <c r="M68" i="7"/>
  <c r="L68" i="7"/>
  <c r="K68" i="7"/>
  <c r="J11" i="7"/>
  <c r="D24" i="7"/>
  <c r="E24" i="7"/>
  <c r="O2" i="7"/>
  <c r="D26" i="7"/>
  <c r="E26" i="7"/>
  <c r="D25" i="7"/>
  <c r="E25" i="7"/>
  <c r="D23" i="7"/>
  <c r="E23" i="7"/>
  <c r="D21" i="7"/>
  <c r="E21" i="7"/>
  <c r="D15" i="7"/>
  <c r="E15" i="7"/>
  <c r="D11" i="7"/>
  <c r="E11" i="7"/>
  <c r="D13" i="7"/>
  <c r="E13" i="7"/>
  <c r="D14" i="7"/>
  <c r="E14" i="7"/>
  <c r="F14" i="7"/>
  <c r="D17" i="7"/>
  <c r="E17" i="7"/>
  <c r="D16" i="7"/>
  <c r="E16" i="7"/>
  <c r="D18" i="7"/>
  <c r="E18" i="7"/>
  <c r="D19" i="7"/>
  <c r="E19" i="7"/>
  <c r="D20" i="7"/>
  <c r="E20" i="7"/>
  <c r="D22" i="7"/>
  <c r="E22" i="7"/>
  <c r="D12" i="7"/>
  <c r="E12" i="7"/>
  <c r="D27" i="7"/>
  <c r="E27" i="7"/>
  <c r="F27" i="7"/>
  <c r="D28" i="7"/>
  <c r="E28" i="7"/>
  <c r="D29" i="7"/>
  <c r="E29" i="7"/>
  <c r="D30" i="7"/>
  <c r="E30" i="7"/>
  <c r="D34" i="7"/>
  <c r="E34" i="7"/>
  <c r="D42" i="7"/>
  <c r="E42" i="7" s="1"/>
  <c r="F42" i="7" s="1"/>
  <c r="D39" i="7"/>
  <c r="E39" i="7" s="1"/>
  <c r="F39" i="7" s="1"/>
  <c r="D40" i="7"/>
  <c r="E40" i="7" s="1"/>
  <c r="F40" i="7" s="1"/>
  <c r="D41" i="7"/>
  <c r="E41" i="7" s="1"/>
  <c r="F41" i="7" s="1"/>
  <c r="D43" i="7"/>
  <c r="E43" i="7" s="1"/>
  <c r="D44" i="7"/>
  <c r="E44" i="7" s="1"/>
  <c r="D45" i="7"/>
  <c r="E45" i="7" s="1"/>
  <c r="H45" i="7" s="1"/>
  <c r="D46" i="7"/>
  <c r="E46" i="7" s="1"/>
  <c r="F46" i="7" s="1"/>
  <c r="D47" i="7"/>
  <c r="E47" i="7" s="1"/>
  <c r="D48" i="7"/>
  <c r="E48" i="7" s="1"/>
  <c r="J65" i="7"/>
  <c r="I65" i="7"/>
  <c r="G65" i="7"/>
  <c r="J64" i="7"/>
  <c r="I64" i="7"/>
  <c r="G64" i="7"/>
  <c r="J63" i="7"/>
  <c r="I63" i="7"/>
  <c r="G63" i="7"/>
  <c r="J62" i="7"/>
  <c r="I62" i="7"/>
  <c r="G62" i="7"/>
  <c r="J61" i="7"/>
  <c r="I61" i="7"/>
  <c r="G61" i="7"/>
  <c r="J60" i="7"/>
  <c r="I60" i="7"/>
  <c r="G60" i="7"/>
  <c r="J59" i="7"/>
  <c r="I59" i="7"/>
  <c r="G59" i="7"/>
  <c r="J58" i="7"/>
  <c r="I58" i="7"/>
  <c r="G58" i="7"/>
  <c r="J57" i="7"/>
  <c r="I57" i="7"/>
  <c r="G57" i="7"/>
  <c r="J56" i="7"/>
  <c r="G56" i="7"/>
  <c r="J48" i="7"/>
  <c r="J47" i="7"/>
  <c r="J46" i="7"/>
  <c r="J45" i="7"/>
  <c r="J44" i="7"/>
  <c r="J43" i="7"/>
  <c r="J42" i="7"/>
  <c r="J41" i="7"/>
  <c r="J40" i="7"/>
  <c r="J39" i="7"/>
  <c r="J34" i="7"/>
  <c r="J30" i="7"/>
  <c r="J29" i="7"/>
  <c r="J28" i="7"/>
  <c r="J27" i="7"/>
  <c r="J26" i="7"/>
  <c r="J25" i="7"/>
  <c r="J24" i="7"/>
  <c r="J23" i="7"/>
  <c r="J22" i="7"/>
  <c r="J21" i="7"/>
  <c r="J20" i="7"/>
  <c r="J19" i="7"/>
  <c r="J18" i="7"/>
  <c r="J17" i="7"/>
  <c r="J16" i="7"/>
  <c r="J15" i="7"/>
  <c r="J14" i="7"/>
  <c r="J13" i="7"/>
  <c r="J12" i="7"/>
  <c r="J29" i="1"/>
  <c r="J26" i="1"/>
  <c r="J9" i="1"/>
  <c r="J11" i="1"/>
  <c r="J25" i="1"/>
  <c r="D36" i="1"/>
  <c r="E36" i="1" s="1"/>
  <c r="F36" i="1" s="1"/>
  <c r="O2" i="1"/>
  <c r="D37" i="1"/>
  <c r="E37" i="1" s="1"/>
  <c r="F37" i="1" s="1"/>
  <c r="D38" i="1"/>
  <c r="E38" i="1" s="1"/>
  <c r="F38" i="1" s="1"/>
  <c r="D39" i="1"/>
  <c r="E39" i="1" s="1"/>
  <c r="F39" i="1" s="1"/>
  <c r="D40" i="1"/>
  <c r="E40" i="1" s="1"/>
  <c r="F40" i="1" s="1"/>
  <c r="D41" i="1"/>
  <c r="E41" i="1" s="1"/>
  <c r="F41" i="1" s="1"/>
  <c r="D42" i="1"/>
  <c r="E42" i="1" s="1"/>
  <c r="F42" i="1" s="1"/>
  <c r="D43" i="1"/>
  <c r="E43" i="1" s="1"/>
  <c r="F43" i="1" s="1"/>
  <c r="D44" i="1"/>
  <c r="E44" i="1" s="1"/>
  <c r="F44" i="1" s="1"/>
  <c r="D45" i="1"/>
  <c r="E45" i="1" s="1"/>
  <c r="F45" i="1" s="1"/>
  <c r="D46" i="1"/>
  <c r="E46" i="1" s="1"/>
  <c r="F46" i="1" s="1"/>
  <c r="D8" i="1"/>
  <c r="E8" i="1"/>
  <c r="D9" i="1"/>
  <c r="E9" i="1"/>
  <c r="D29" i="1"/>
  <c r="E29" i="1"/>
  <c r="D30" i="1"/>
  <c r="E30" i="1"/>
  <c r="D26" i="1"/>
  <c r="E26" i="1"/>
  <c r="D10" i="1"/>
  <c r="E10" i="1"/>
  <c r="D11" i="1"/>
  <c r="E11" i="1"/>
  <c r="D25" i="1"/>
  <c r="E25" i="1"/>
  <c r="D23" i="1"/>
  <c r="E23" i="1"/>
  <c r="D12" i="1"/>
  <c r="E12" i="1"/>
  <c r="D13" i="1"/>
  <c r="E13" i="1"/>
  <c r="D14" i="1"/>
  <c r="E14" i="1"/>
  <c r="D15" i="1"/>
  <c r="E15" i="1"/>
  <c r="D16" i="1"/>
  <c r="E16" i="1"/>
  <c r="D17" i="1"/>
  <c r="E17" i="1"/>
  <c r="D18" i="1"/>
  <c r="E18" i="1"/>
  <c r="D19" i="1"/>
  <c r="E19" i="1"/>
  <c r="D20" i="1"/>
  <c r="E20" i="1"/>
  <c r="D21" i="1"/>
  <c r="E21" i="1"/>
  <c r="D22" i="1"/>
  <c r="E22" i="1"/>
  <c r="D24" i="1"/>
  <c r="E24" i="1"/>
  <c r="D27" i="1"/>
  <c r="E27" i="1"/>
  <c r="D28" i="1"/>
  <c r="E28" i="1"/>
  <c r="D31" i="1"/>
  <c r="E31" i="1"/>
  <c r="D70" i="1"/>
  <c r="D69" i="1"/>
  <c r="D68" i="1"/>
  <c r="D67" i="1"/>
  <c r="D66" i="1"/>
  <c r="D65" i="1"/>
  <c r="D64" i="1"/>
  <c r="CD63" i="1"/>
  <c r="CC63" i="1"/>
  <c r="CB63" i="1"/>
  <c r="CA63" i="1"/>
  <c r="BZ63" i="1"/>
  <c r="BY63" i="1"/>
  <c r="BX63" i="1"/>
  <c r="BW63" i="1"/>
  <c r="BV63" i="1"/>
  <c r="BU63" i="1"/>
  <c r="BT63" i="1"/>
  <c r="BS63" i="1"/>
  <c r="BR63" i="1"/>
  <c r="BQ63" i="1"/>
  <c r="BP63" i="1"/>
  <c r="BO63" i="1"/>
  <c r="BN63" i="1"/>
  <c r="BM63" i="1"/>
  <c r="BL63" i="1"/>
  <c r="BK63" i="1"/>
  <c r="BJ63" i="1"/>
  <c r="BI63" i="1"/>
  <c r="BH63" i="1"/>
  <c r="BG63" i="1"/>
  <c r="BF63" i="1"/>
  <c r="BE63" i="1"/>
  <c r="BD63" i="1"/>
  <c r="BC63" i="1"/>
  <c r="BB63" i="1"/>
  <c r="BA63" i="1"/>
  <c r="AZ63" i="1"/>
  <c r="AY63" i="1"/>
  <c r="AX63" i="1"/>
  <c r="AW63" i="1"/>
  <c r="AV63" i="1"/>
  <c r="AU63" i="1"/>
  <c r="AT63" i="1"/>
  <c r="AS63" i="1"/>
  <c r="AR63" i="1"/>
  <c r="AQ63" i="1"/>
  <c r="AP63" i="1"/>
  <c r="AO63" i="1"/>
  <c r="AN63" i="1"/>
  <c r="AM63" i="1"/>
  <c r="AL63" i="1"/>
  <c r="AK63" i="1"/>
  <c r="AJ63" i="1"/>
  <c r="AI63" i="1"/>
  <c r="AH63" i="1"/>
  <c r="AG63" i="1"/>
  <c r="AF63" i="1"/>
  <c r="AE63" i="1"/>
  <c r="AD63" i="1"/>
  <c r="AC63" i="1"/>
  <c r="AB63" i="1"/>
  <c r="AA63" i="1"/>
  <c r="Z63" i="1"/>
  <c r="Y63" i="1"/>
  <c r="X63" i="1"/>
  <c r="W63" i="1"/>
  <c r="V63" i="1"/>
  <c r="U63" i="1"/>
  <c r="T63" i="1"/>
  <c r="S63" i="1"/>
  <c r="R63" i="1"/>
  <c r="Q63" i="1"/>
  <c r="P63" i="1"/>
  <c r="O63" i="1"/>
  <c r="N63" i="1"/>
  <c r="M63" i="1"/>
  <c r="L47" i="1"/>
  <c r="L61" i="1"/>
  <c r="J61" i="1"/>
  <c r="I61" i="1"/>
  <c r="H61" i="1"/>
  <c r="L60" i="1"/>
  <c r="J60" i="1"/>
  <c r="I60" i="1"/>
  <c r="H60" i="1"/>
  <c r="L59" i="1"/>
  <c r="J59" i="1"/>
  <c r="I59" i="1"/>
  <c r="H59" i="1"/>
  <c r="L58" i="1"/>
  <c r="J58" i="1"/>
  <c r="I58" i="1"/>
  <c r="H58" i="1"/>
  <c r="L57" i="1"/>
  <c r="J57" i="1"/>
  <c r="I57" i="1"/>
  <c r="H57" i="1"/>
  <c r="L56" i="1"/>
  <c r="J56" i="1"/>
  <c r="I56" i="1"/>
  <c r="H56" i="1"/>
  <c r="L55" i="1"/>
  <c r="J55" i="1"/>
  <c r="I55" i="1"/>
  <c r="H55" i="1"/>
  <c r="L54" i="1"/>
  <c r="J54" i="1"/>
  <c r="I54" i="1"/>
  <c r="H54" i="1"/>
  <c r="L53" i="1"/>
  <c r="J53" i="1"/>
  <c r="I53" i="1"/>
  <c r="H53" i="1"/>
  <c r="L52" i="1"/>
  <c r="J52" i="1"/>
  <c r="I52" i="1"/>
  <c r="H52" i="1"/>
  <c r="L51" i="1"/>
  <c r="J51" i="1"/>
  <c r="I51" i="1"/>
  <c r="H51" i="1"/>
  <c r="L46" i="1"/>
  <c r="L45" i="1"/>
  <c r="L44" i="1"/>
  <c r="L43" i="1"/>
  <c r="L42" i="1"/>
  <c r="L41" i="1"/>
  <c r="L40" i="1"/>
  <c r="L39" i="1"/>
  <c r="L38" i="1"/>
  <c r="L37" i="1"/>
  <c r="L31" i="1"/>
  <c r="J31" i="1"/>
  <c r="L30" i="1"/>
  <c r="J30" i="1"/>
  <c r="L28" i="1"/>
  <c r="J28" i="1"/>
  <c r="L27" i="1"/>
  <c r="J27" i="1"/>
  <c r="L24" i="1"/>
  <c r="J24" i="1"/>
  <c r="L23" i="1"/>
  <c r="J23" i="1"/>
  <c r="L22" i="1"/>
  <c r="J22" i="1"/>
  <c r="L21" i="1"/>
  <c r="J21" i="1"/>
  <c r="L20" i="1"/>
  <c r="J20" i="1"/>
  <c r="L19" i="1"/>
  <c r="J19" i="1"/>
  <c r="L18" i="1"/>
  <c r="J18" i="1"/>
  <c r="L17" i="1"/>
  <c r="J17" i="1"/>
  <c r="L16" i="1"/>
  <c r="J16" i="1"/>
  <c r="L15" i="1"/>
  <c r="J15" i="1"/>
  <c r="L14" i="1"/>
  <c r="J14" i="1"/>
  <c r="L13" i="1"/>
  <c r="J13" i="1"/>
  <c r="L12" i="1"/>
  <c r="J12" i="1"/>
  <c r="L10" i="1"/>
  <c r="J10" i="1"/>
  <c r="H2" i="1"/>
  <c r="B42" i="4"/>
  <c r="B19" i="4"/>
  <c r="N5" i="1"/>
  <c r="B1" i="10"/>
  <c r="J8" i="1"/>
  <c r="J32" i="1"/>
  <c r="G5" i="1"/>
  <c r="L63" i="1"/>
  <c r="O5" i="1"/>
  <c r="D1" i="10"/>
  <c r="C1" i="10"/>
  <c r="P5" i="1"/>
  <c r="Q5" i="1"/>
  <c r="G4" i="1"/>
  <c r="F33" i="7"/>
  <c r="H33" i="7"/>
  <c r="F34" i="7"/>
  <c r="H34" i="7"/>
  <c r="F21" i="7"/>
  <c r="H21" i="7"/>
  <c r="J66" i="7"/>
  <c r="F31" i="7"/>
  <c r="H31" i="7"/>
  <c r="J52" i="7"/>
  <c r="H56" i="7"/>
  <c r="H57" i="7"/>
  <c r="H58" i="7"/>
  <c r="H59" i="7"/>
  <c r="H60" i="7"/>
  <c r="H61" i="7"/>
  <c r="H62" i="7"/>
  <c r="H63" i="7"/>
  <c r="H64" i="7"/>
  <c r="H65" i="7"/>
  <c r="I56" i="7"/>
  <c r="I66" i="7"/>
  <c r="H14" i="7"/>
  <c r="R5" i="1"/>
  <c r="F1" i="10"/>
  <c r="E1" i="10"/>
  <c r="B1" i="11"/>
  <c r="F32" i="7"/>
  <c r="H32" i="7"/>
  <c r="J35" i="7"/>
  <c r="M8" i="7"/>
  <c r="C1" i="11"/>
  <c r="H27" i="7"/>
  <c r="F19" i="1"/>
  <c r="I19" i="1"/>
  <c r="F8" i="1"/>
  <c r="I8" i="1"/>
  <c r="F22" i="1"/>
  <c r="I22" i="1"/>
  <c r="F25" i="1"/>
  <c r="I25" i="1"/>
  <c r="F13" i="1"/>
  <c r="I13" i="1"/>
  <c r="F16" i="1"/>
  <c r="I16" i="1"/>
  <c r="F29" i="7"/>
  <c r="H29" i="7"/>
  <c r="F22" i="7"/>
  <c r="H22" i="7"/>
  <c r="F11" i="7"/>
  <c r="H11" i="7"/>
  <c r="F25" i="7"/>
  <c r="H25" i="7"/>
  <c r="F17" i="7"/>
  <c r="H17" i="7"/>
  <c r="F15" i="7"/>
  <c r="H15" i="7"/>
  <c r="F12" i="7"/>
  <c r="H12" i="7"/>
  <c r="F18" i="7"/>
  <c r="H18" i="7"/>
  <c r="F26" i="7"/>
  <c r="H26" i="7"/>
  <c r="F31" i="1"/>
  <c r="I31" i="1"/>
  <c r="F15" i="1"/>
  <c r="I15" i="1"/>
  <c r="F28" i="1"/>
  <c r="I28" i="1"/>
  <c r="F18" i="1"/>
  <c r="I18" i="1"/>
  <c r="F12" i="1"/>
  <c r="I12" i="1"/>
  <c r="F11" i="1"/>
  <c r="I11" i="1"/>
  <c r="F30" i="1"/>
  <c r="I30" i="1"/>
  <c r="F27" i="1"/>
  <c r="I27" i="1"/>
  <c r="F21" i="1"/>
  <c r="I21" i="1"/>
  <c r="F17" i="1"/>
  <c r="I17" i="1"/>
  <c r="F14" i="1"/>
  <c r="I14" i="1"/>
  <c r="F23" i="1"/>
  <c r="I23" i="1"/>
  <c r="F10" i="1"/>
  <c r="I10" i="1"/>
  <c r="F20" i="1"/>
  <c r="I20" i="1"/>
  <c r="F9" i="1"/>
  <c r="I9" i="1"/>
  <c r="F16" i="7"/>
  <c r="H16" i="7"/>
  <c r="F13" i="7"/>
  <c r="H13" i="7"/>
  <c r="F23" i="7"/>
  <c r="H23" i="7"/>
  <c r="F24" i="7"/>
  <c r="H24" i="7"/>
  <c r="F26" i="1"/>
  <c r="I26" i="1"/>
  <c r="F20" i="7"/>
  <c r="H20" i="7"/>
  <c r="F30" i="7"/>
  <c r="H30" i="7"/>
  <c r="F28" i="7"/>
  <c r="H28" i="7"/>
  <c r="F19" i="7"/>
  <c r="H19" i="7"/>
  <c r="F29" i="1"/>
  <c r="I29" i="1"/>
  <c r="F24" i="1"/>
  <c r="I24" i="1"/>
  <c r="H66" i="7"/>
  <c r="L3" i="7"/>
  <c r="D5" i="7"/>
  <c r="D7" i="7"/>
  <c r="J68" i="7"/>
  <c r="S5" i="1"/>
  <c r="G1" i="10"/>
  <c r="D1" i="11"/>
  <c r="N8" i="7"/>
  <c r="H35" i="7"/>
  <c r="I32" i="1"/>
  <c r="H8" i="1"/>
  <c r="K8" i="1"/>
  <c r="H1" i="10"/>
  <c r="T5" i="1"/>
  <c r="O8" i="7"/>
  <c r="E1" i="11"/>
  <c r="H13" i="1"/>
  <c r="K13" i="1"/>
  <c r="H10" i="1"/>
  <c r="K10" i="1"/>
  <c r="H23" i="1"/>
  <c r="K23" i="1"/>
  <c r="H25" i="1"/>
  <c r="K25" i="1"/>
  <c r="H9" i="1"/>
  <c r="K9" i="1"/>
  <c r="H26" i="1"/>
  <c r="K26" i="1"/>
  <c r="H14" i="1"/>
  <c r="K14" i="1"/>
  <c r="H19" i="1"/>
  <c r="K19" i="1"/>
  <c r="H16" i="1"/>
  <c r="K16" i="1"/>
  <c r="H18" i="1"/>
  <c r="K18" i="1"/>
  <c r="H12" i="1"/>
  <c r="K12" i="1"/>
  <c r="H20" i="1"/>
  <c r="K20" i="1"/>
  <c r="H31" i="1"/>
  <c r="K31" i="1"/>
  <c r="H29" i="1"/>
  <c r="K29" i="1"/>
  <c r="H30" i="1"/>
  <c r="K30" i="1"/>
  <c r="J73" i="1"/>
  <c r="H21" i="1"/>
  <c r="K21" i="1"/>
  <c r="H15" i="1"/>
  <c r="K15" i="1"/>
  <c r="H28" i="1"/>
  <c r="K28" i="1"/>
  <c r="D2" i="1"/>
  <c r="H11" i="1"/>
  <c r="K11" i="1"/>
  <c r="H22" i="1"/>
  <c r="K22" i="1"/>
  <c r="H27" i="1"/>
  <c r="K27" i="1"/>
  <c r="H17" i="1"/>
  <c r="K17" i="1"/>
  <c r="H24" i="1"/>
  <c r="K24" i="1"/>
  <c r="I20" i="7"/>
  <c r="I1" i="10"/>
  <c r="U5" i="1"/>
  <c r="F1" i="11"/>
  <c r="P8" i="7"/>
  <c r="K32" i="1"/>
  <c r="J1" i="10"/>
  <c r="V5" i="1"/>
  <c r="G1" i="11"/>
  <c r="Q8" i="7"/>
  <c r="W5" i="1"/>
  <c r="K1" i="10"/>
  <c r="R8" i="7"/>
  <c r="H1" i="11"/>
  <c r="X5" i="1"/>
  <c r="L1" i="10"/>
  <c r="I1" i="11"/>
  <c r="S8" i="7"/>
  <c r="M1" i="10"/>
  <c r="Y5" i="1"/>
  <c r="J1" i="11"/>
  <c r="T8" i="7"/>
  <c r="Z5" i="1"/>
  <c r="N1" i="10"/>
  <c r="U8" i="7"/>
  <c r="K1" i="11"/>
  <c r="O1" i="10"/>
  <c r="AA5" i="1"/>
  <c r="V8" i="7"/>
  <c r="L1" i="11"/>
  <c r="AB5" i="1"/>
  <c r="P1" i="10"/>
  <c r="W8" i="7"/>
  <c r="M1" i="11"/>
  <c r="Q1" i="10"/>
  <c r="AC5" i="1"/>
  <c r="X8" i="7"/>
  <c r="N1" i="11"/>
  <c r="AD5" i="1"/>
  <c r="R1" i="10"/>
  <c r="Y8" i="7"/>
  <c r="O1" i="11"/>
  <c r="AE5" i="1"/>
  <c r="S1" i="10"/>
  <c r="Z8" i="7"/>
  <c r="P1" i="11"/>
  <c r="AF5" i="1"/>
  <c r="T1" i="10"/>
  <c r="AA8" i="7"/>
  <c r="Q1" i="11"/>
  <c r="U1" i="10"/>
  <c r="AG5" i="1"/>
  <c r="AB8" i="7"/>
  <c r="R1" i="11"/>
  <c r="V1" i="10"/>
  <c r="AH5" i="1"/>
  <c r="AC8" i="7"/>
  <c r="S1" i="11"/>
  <c r="W1" i="10"/>
  <c r="AI5" i="1"/>
  <c r="AD8" i="7"/>
  <c r="T1" i="11"/>
  <c r="X1" i="10"/>
  <c r="AJ5" i="1"/>
  <c r="U1" i="11"/>
  <c r="AE8" i="7"/>
  <c r="Y1" i="10"/>
  <c r="AK5" i="1"/>
  <c r="AF8" i="7"/>
  <c r="V1" i="11"/>
  <c r="Z1" i="10"/>
  <c r="AL5" i="1"/>
  <c r="W1" i="11"/>
  <c r="AG8" i="7"/>
  <c r="AM5" i="1"/>
  <c r="AA1" i="10"/>
  <c r="AH8" i="7"/>
  <c r="X1" i="11"/>
  <c r="AN5" i="1"/>
  <c r="AB1" i="10"/>
  <c r="Y1" i="11"/>
  <c r="AI8" i="7"/>
  <c r="AC1" i="10"/>
  <c r="AO5" i="1"/>
  <c r="Z1" i="11"/>
  <c r="AJ8" i="7"/>
  <c r="AP5" i="1"/>
  <c r="AD1" i="10"/>
  <c r="AK8" i="7"/>
  <c r="AA1" i="11"/>
  <c r="AQ5" i="1"/>
  <c r="AE1" i="10"/>
  <c r="AL8" i="7"/>
  <c r="AB1" i="11"/>
  <c r="AR5" i="1"/>
  <c r="AF1" i="10"/>
  <c r="AM8" i="7"/>
  <c r="AC1" i="11"/>
  <c r="AG1" i="10"/>
  <c r="AS5" i="1"/>
  <c r="AD1" i="11"/>
  <c r="AN8" i="7"/>
  <c r="AH1" i="10"/>
  <c r="AT5" i="1"/>
  <c r="AE1" i="11"/>
  <c r="AO8" i="7"/>
  <c r="AI1" i="10"/>
  <c r="AU5" i="1"/>
  <c r="AP8" i="7"/>
  <c r="AF1" i="11"/>
  <c r="AJ1" i="10"/>
  <c r="AV5" i="1"/>
  <c r="AG1" i="11"/>
  <c r="AQ8" i="7"/>
  <c r="AK1" i="10"/>
  <c r="AW5" i="1"/>
  <c r="AR8" i="7"/>
  <c r="AH1" i="11"/>
  <c r="AL1" i="10"/>
  <c r="AX5" i="1"/>
  <c r="AS8" i="7"/>
  <c r="AI1" i="11"/>
  <c r="AM1" i="10"/>
  <c r="AY5" i="1"/>
  <c r="AT8" i="7"/>
  <c r="AJ1" i="11"/>
  <c r="AZ5" i="1"/>
  <c r="AN1" i="10"/>
  <c r="AU8" i="7"/>
  <c r="AK1" i="11"/>
  <c r="AO1" i="10"/>
  <c r="BA5" i="1"/>
  <c r="AV8" i="7"/>
  <c r="AL1" i="11"/>
  <c r="BB5" i="1"/>
  <c r="AP1" i="10"/>
  <c r="AW8" i="7"/>
  <c r="AM1" i="11"/>
  <c r="BC5" i="1"/>
  <c r="AQ1" i="10"/>
  <c r="AX8" i="7"/>
  <c r="AN1" i="11"/>
  <c r="BD5" i="1"/>
  <c r="AR1" i="10"/>
  <c r="AY8" i="7"/>
  <c r="AO1" i="11"/>
  <c r="AS1" i="10"/>
  <c r="BE5" i="1"/>
  <c r="AP1" i="11"/>
  <c r="AZ8" i="7"/>
  <c r="AT1" i="10"/>
  <c r="BF5" i="1"/>
  <c r="BA8" i="7"/>
  <c r="AQ1" i="11"/>
  <c r="AU1" i="10"/>
  <c r="BG5" i="1"/>
  <c r="BB8" i="7"/>
  <c r="AR1" i="11"/>
  <c r="AV1" i="10"/>
  <c r="BH5" i="1"/>
  <c r="AS1" i="11"/>
  <c r="BC8" i="7"/>
  <c r="AW1" i="10"/>
  <c r="BI5" i="1"/>
  <c r="BD8" i="7"/>
  <c r="AT1" i="11"/>
  <c r="AX1" i="10"/>
  <c r="BJ5" i="1"/>
  <c r="AU1" i="11"/>
  <c r="BE8" i="7"/>
  <c r="AY1" i="10"/>
  <c r="BK5" i="1"/>
  <c r="BF8" i="7"/>
  <c r="AV1" i="11"/>
  <c r="BL5" i="1"/>
  <c r="AZ1" i="10"/>
  <c r="AW1" i="11"/>
  <c r="BG8" i="7"/>
  <c r="BM5" i="1"/>
  <c r="BN5" i="1"/>
  <c r="BO5" i="1"/>
  <c r="BP5" i="1"/>
  <c r="BQ5" i="1"/>
  <c r="BR5" i="1"/>
  <c r="BS5" i="1"/>
  <c r="BT5" i="1"/>
  <c r="BU5" i="1"/>
  <c r="BV5" i="1"/>
  <c r="BW5" i="1"/>
  <c r="BX5" i="1"/>
  <c r="BY5" i="1"/>
  <c r="BZ5" i="1"/>
  <c r="CA5" i="1"/>
  <c r="CB5" i="1"/>
  <c r="CC5" i="1"/>
  <c r="CD5" i="1"/>
  <c r="BA1" i="10"/>
  <c r="BH8" i="7"/>
  <c r="AX1" i="11"/>
  <c r="BI8" i="7"/>
  <c r="AY1" i="11"/>
  <c r="BJ8" i="7"/>
  <c r="AZ1" i="11"/>
  <c r="BK8" i="7"/>
  <c r="BA1" i="11"/>
  <c r="BB1" i="11"/>
  <c r="BL8" i="7"/>
  <c r="BC1" i="11"/>
  <c r="BM8" i="7"/>
  <c r="BN8" i="7"/>
  <c r="BD1" i="11"/>
  <c r="BE1" i="11"/>
  <c r="BO8" i="7"/>
  <c r="BF1" i="11"/>
  <c r="BP8" i="7"/>
  <c r="BG1" i="11"/>
  <c r="BQ8" i="7"/>
  <c r="BR8" i="7"/>
  <c r="BH1" i="11"/>
  <c r="BI1" i="11"/>
  <c r="BS8" i="7"/>
  <c r="BT8" i="7"/>
  <c r="BJ1" i="11"/>
  <c r="BK1" i="11"/>
  <c r="BU8" i="7"/>
  <c r="BV8" i="7"/>
  <c r="BL1" i="11"/>
  <c r="BM1" i="11"/>
  <c r="BW8" i="7"/>
  <c r="BN1" i="11"/>
  <c r="BX8" i="7"/>
  <c r="BO1" i="11"/>
  <c r="BY8" i="7"/>
  <c r="BZ8" i="7"/>
  <c r="BP1" i="11"/>
  <c r="BQ1" i="11"/>
  <c r="CA8" i="7"/>
  <c r="BR1" i="11"/>
  <c r="CB8" i="7"/>
  <c r="BS1" i="11"/>
  <c r="CC8" i="7"/>
  <c r="CD8" i="7"/>
  <c r="BT1" i="11"/>
  <c r="BU1" i="11"/>
  <c r="CE8" i="7"/>
  <c r="BV1" i="11"/>
  <c r="CF8" i="7"/>
  <c r="BW1" i="11"/>
  <c r="CG8" i="7"/>
  <c r="CH8" i="7"/>
  <c r="BY1" i="11"/>
  <c r="BX1" i="11"/>
  <c r="H47" i="7" l="1"/>
  <c r="F47" i="7"/>
  <c r="I47" i="7" s="1"/>
  <c r="I38" i="1"/>
  <c r="G38" i="1"/>
  <c r="H38" i="1" s="1"/>
  <c r="H43" i="7"/>
  <c r="F43" i="7"/>
  <c r="I43" i="7" s="1"/>
  <c r="G41" i="1"/>
  <c r="J41" i="1" s="1"/>
  <c r="K41" i="1" s="1"/>
  <c r="I41" i="1"/>
  <c r="I37" i="1"/>
  <c r="G37" i="1"/>
  <c r="H39" i="7"/>
  <c r="G39" i="7"/>
  <c r="I39" i="7" s="1"/>
  <c r="G50" i="7"/>
  <c r="I50" i="7"/>
  <c r="G42" i="7"/>
  <c r="I42" i="7" s="1"/>
  <c r="H42" i="7"/>
  <c r="G42" i="1"/>
  <c r="I42" i="1"/>
  <c r="G36" i="1"/>
  <c r="I36" i="1"/>
  <c r="I46" i="1"/>
  <c r="G46" i="1"/>
  <c r="H44" i="7"/>
  <c r="F44" i="7"/>
  <c r="G40" i="1"/>
  <c r="I40" i="1"/>
  <c r="F48" i="7"/>
  <c r="H48" i="7"/>
  <c r="G45" i="1"/>
  <c r="I45" i="1"/>
  <c r="G44" i="1"/>
  <c r="I44" i="1"/>
  <c r="G39" i="1"/>
  <c r="I39" i="1"/>
  <c r="G41" i="7"/>
  <c r="I41" i="7" s="1"/>
  <c r="H41" i="7"/>
  <c r="H49" i="7"/>
  <c r="F49" i="7"/>
  <c r="F51" i="7"/>
  <c r="H51" i="7"/>
  <c r="G43" i="1"/>
  <c r="I43" i="1"/>
  <c r="G46" i="7"/>
  <c r="I46" i="7"/>
  <c r="G40" i="7"/>
  <c r="I40" i="7" s="1"/>
  <c r="H40" i="7"/>
  <c r="F45" i="7"/>
  <c r="J38" i="1"/>
  <c r="K38" i="1" s="1"/>
  <c r="G47" i="7"/>
  <c r="H46" i="7"/>
  <c r="H50" i="7"/>
  <c r="H41" i="1" l="1"/>
  <c r="G43" i="7"/>
  <c r="I51" i="7"/>
  <c r="G51" i="7"/>
  <c r="H44" i="1"/>
  <c r="J44" i="1"/>
  <c r="K44" i="1" s="1"/>
  <c r="I49" i="7"/>
  <c r="G49" i="7"/>
  <c r="J46" i="1"/>
  <c r="K46" i="1" s="1"/>
  <c r="H46" i="1"/>
  <c r="J45" i="1"/>
  <c r="K45" i="1" s="1"/>
  <c r="H45" i="1"/>
  <c r="I47" i="1"/>
  <c r="G48" i="7"/>
  <c r="I48" i="7"/>
  <c r="AG71" i="1"/>
  <c r="AP71" i="1"/>
  <c r="AW71" i="1"/>
  <c r="AR71" i="1"/>
  <c r="S71" i="1"/>
  <c r="U71" i="1"/>
  <c r="BF71" i="1"/>
  <c r="BR71" i="1"/>
  <c r="BX71" i="1"/>
  <c r="N71" i="1"/>
  <c r="BQ71" i="1"/>
  <c r="CB71" i="1"/>
  <c r="AU71" i="1"/>
  <c r="AO71" i="1"/>
  <c r="BA71" i="1"/>
  <c r="BI71" i="1"/>
  <c r="BL71" i="1"/>
  <c r="CD71" i="1"/>
  <c r="AS71" i="1"/>
  <c r="Z71" i="1"/>
  <c r="BN71" i="1"/>
  <c r="AA71" i="1"/>
  <c r="BU71" i="1"/>
  <c r="P71" i="1"/>
  <c r="AV71" i="1"/>
  <c r="AJ71" i="1"/>
  <c r="BZ71" i="1"/>
  <c r="BC71" i="1"/>
  <c r="BG71" i="1"/>
  <c r="AE71" i="1"/>
  <c r="BP71" i="1"/>
  <c r="AH71" i="1"/>
  <c r="AY71" i="1"/>
  <c r="Y71" i="1"/>
  <c r="BM71" i="1"/>
  <c r="AQ71" i="1"/>
  <c r="AF71" i="1"/>
  <c r="AK71" i="1"/>
  <c r="T71" i="1"/>
  <c r="BS71" i="1"/>
  <c r="AN71" i="1"/>
  <c r="BW71" i="1"/>
  <c r="BB71" i="1"/>
  <c r="AT71" i="1"/>
  <c r="CC71" i="1"/>
  <c r="W71" i="1"/>
  <c r="Q71" i="1"/>
  <c r="V71" i="1"/>
  <c r="AX71" i="1"/>
  <c r="J36" i="1"/>
  <c r="AD71" i="1"/>
  <c r="O71" i="1"/>
  <c r="BK71" i="1"/>
  <c r="BV71" i="1"/>
  <c r="BT71" i="1"/>
  <c r="BO71" i="1"/>
  <c r="BY71" i="1"/>
  <c r="M71" i="1"/>
  <c r="AL71" i="1"/>
  <c r="BE71" i="1"/>
  <c r="H36" i="1"/>
  <c r="AM71" i="1"/>
  <c r="BD71" i="1"/>
  <c r="AI71" i="1"/>
  <c r="R71" i="1"/>
  <c r="BJ71" i="1"/>
  <c r="X71" i="1"/>
  <c r="AZ71" i="1"/>
  <c r="AC71" i="1"/>
  <c r="CA71" i="1"/>
  <c r="BH71" i="1"/>
  <c r="AB71" i="1"/>
  <c r="H52" i="7"/>
  <c r="I44" i="7"/>
  <c r="G44" i="7"/>
  <c r="H43" i="1"/>
  <c r="J43" i="1"/>
  <c r="K43" i="1" s="1"/>
  <c r="H37" i="1"/>
  <c r="J37" i="1"/>
  <c r="K37" i="1" s="1"/>
  <c r="G45" i="7"/>
  <c r="I45" i="7"/>
  <c r="H39" i="1"/>
  <c r="J39" i="1"/>
  <c r="K39" i="1" s="1"/>
  <c r="H40" i="1"/>
  <c r="J40" i="1"/>
  <c r="K40" i="1" s="1"/>
  <c r="H42" i="1"/>
  <c r="J42" i="1"/>
  <c r="K42" i="1" s="1"/>
  <c r="I52" i="7" l="1"/>
  <c r="K36" i="1"/>
  <c r="K47" i="1" s="1"/>
  <c r="K63" i="1" s="1"/>
  <c r="J47" i="1"/>
  <c r="J63" i="1" s="1"/>
  <c r="D3" i="1" s="1"/>
  <c r="H3" i="7"/>
  <c r="H68" i="7"/>
  <c r="H47" i="1"/>
  <c r="I73" i="1" s="1"/>
  <c r="I74" i="1" s="1"/>
  <c r="G33" i="7" l="1"/>
  <c r="I33" i="7" s="1"/>
  <c r="G25" i="7"/>
  <c r="I25" i="7" s="1"/>
  <c r="G31" i="7"/>
  <c r="I31" i="7" s="1"/>
  <c r="G13" i="7"/>
  <c r="I13" i="7" s="1"/>
  <c r="G15" i="7"/>
  <c r="I15" i="7" s="1"/>
  <c r="G12" i="7"/>
  <c r="I12" i="7" s="1"/>
  <c r="G19" i="7"/>
  <c r="I19" i="7" s="1"/>
  <c r="G14" i="7"/>
  <c r="I14" i="7" s="1"/>
  <c r="G28" i="7"/>
  <c r="I28" i="7" s="1"/>
  <c r="G30" i="7"/>
  <c r="I30" i="7" s="1"/>
  <c r="G22" i="7"/>
  <c r="I22" i="7" s="1"/>
  <c r="G27" i="7"/>
  <c r="I27" i="7" s="1"/>
  <c r="G32" i="7"/>
  <c r="I32" i="7" s="1"/>
  <c r="G18" i="7"/>
  <c r="I18" i="7" s="1"/>
  <c r="G21" i="7"/>
  <c r="I21" i="7" s="1"/>
  <c r="G29" i="7"/>
  <c r="I29" i="7" s="1"/>
  <c r="G26" i="7"/>
  <c r="I26" i="7" s="1"/>
  <c r="G24" i="7"/>
  <c r="I24" i="7" s="1"/>
  <c r="G34" i="7"/>
  <c r="I34" i="7" s="1"/>
  <c r="G17" i="7"/>
  <c r="I17" i="7" s="1"/>
  <c r="G23" i="7"/>
  <c r="I23" i="7" s="1"/>
  <c r="G16" i="7"/>
  <c r="I16" i="7" s="1"/>
  <c r="G11" i="7"/>
  <c r="Q76" i="7" l="1"/>
  <c r="BP76" i="7"/>
  <c r="AY76" i="7"/>
  <c r="BG76" i="7"/>
  <c r="U76" i="7"/>
  <c r="BV76" i="7"/>
  <c r="BM76" i="7"/>
  <c r="AZ76" i="7"/>
  <c r="BH76" i="7"/>
  <c r="AN76" i="7"/>
  <c r="I11" i="7"/>
  <c r="I35" i="7" s="1"/>
  <c r="BW76" i="7"/>
  <c r="M76" i="7"/>
  <c r="CD76" i="7"/>
  <c r="BL76" i="7"/>
  <c r="AA76" i="7"/>
  <c r="BE76" i="7"/>
  <c r="AH76" i="7"/>
  <c r="BX76" i="7"/>
  <c r="AI76" i="7"/>
  <c r="CG76" i="7"/>
  <c r="CH76" i="7"/>
  <c r="AV76" i="7"/>
  <c r="X76" i="7"/>
  <c r="AQ76" i="7"/>
  <c r="BS76" i="7"/>
  <c r="CE76" i="7"/>
  <c r="BB76" i="7"/>
  <c r="AC76" i="7"/>
  <c r="AK76" i="7"/>
  <c r="AW76" i="7"/>
  <c r="K76" i="7"/>
  <c r="BD76" i="7"/>
  <c r="AM76" i="7"/>
  <c r="AO76" i="7"/>
  <c r="BA76" i="7"/>
  <c r="BC76" i="7"/>
  <c r="BI76" i="7"/>
  <c r="AL76" i="7"/>
  <c r="N76" i="7"/>
  <c r="BF76" i="7"/>
  <c r="BO76" i="7"/>
  <c r="CA76" i="7"/>
  <c r="W76" i="7"/>
  <c r="AE76" i="7"/>
  <c r="BU76" i="7"/>
  <c r="Z76" i="7"/>
  <c r="AT76" i="7"/>
  <c r="P76" i="7"/>
  <c r="V76" i="7"/>
  <c r="AJ76" i="7"/>
  <c r="BZ76" i="7"/>
  <c r="AB76" i="7"/>
  <c r="BQ76" i="7"/>
  <c r="O76" i="7"/>
  <c r="L76" i="7"/>
  <c r="S76" i="7"/>
  <c r="BK76" i="7"/>
  <c r="AD76" i="7"/>
  <c r="CF76" i="7"/>
  <c r="T76" i="7"/>
  <c r="BR76" i="7"/>
  <c r="AF76" i="7"/>
  <c r="AP76" i="7"/>
  <c r="BJ76" i="7"/>
  <c r="AU76" i="7"/>
  <c r="Y76" i="7"/>
  <c r="BN76" i="7"/>
  <c r="AX76" i="7"/>
  <c r="CB76" i="7"/>
  <c r="BY76" i="7"/>
  <c r="CC76" i="7"/>
  <c r="AS76" i="7"/>
  <c r="BT76" i="7"/>
  <c r="R76" i="7"/>
  <c r="AR76" i="7"/>
  <c r="AG76" i="7"/>
  <c r="I68" i="7" l="1"/>
  <c r="G7" i="7" s="1"/>
  <c r="G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TaniaGarrido</author>
  </authors>
  <commentList>
    <comment ref="B4" authorId="0" shapeId="0" xr:uid="{00000000-0006-0000-0000-000001000000}">
      <text>
        <r>
          <rPr>
            <sz val="8"/>
            <color indexed="81"/>
            <rFont val="Tahoma"/>
            <family val="2"/>
          </rPr>
          <t xml:space="preserve"> If this is a new client, recommend a 4-character alpha code prefix for the project code. 
</t>
        </r>
      </text>
    </comment>
    <comment ref="B5" authorId="0" shapeId="0" xr:uid="{D8EB45A5-226E-4814-A422-3C3BB6EC1D4B}">
      <text>
        <r>
          <rPr>
            <sz val="8"/>
            <color indexed="81"/>
            <rFont val="Tahoma"/>
            <family val="2"/>
          </rPr>
          <t xml:space="preserve"> If this is a new client, recommend a 4-character alpha code prefix for the project code. 
</t>
        </r>
      </text>
    </comment>
    <comment ref="B7" authorId="1" shapeId="0" xr:uid="{00000000-0006-0000-0000-000002000000}">
      <text>
        <r>
          <rPr>
            <sz val="9"/>
            <color indexed="81"/>
            <rFont val="Tahoma"/>
            <family val="2"/>
          </rPr>
          <t>This field is to capture any Partner or Director who contributed to the sale of this project.</t>
        </r>
      </text>
    </comment>
    <comment ref="B9" authorId="1" shapeId="0" xr:uid="{00000000-0006-0000-0000-000003000000}">
      <text>
        <r>
          <rPr>
            <sz val="9"/>
            <color indexed="81"/>
            <rFont val="Tahoma"/>
            <family val="2"/>
          </rPr>
          <t>This field is to capture any Senior Manager or 
Fellow who contributed to the sale of this project.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Reyna Flores\Downloads\CPG.iqy" keepAlive="1" name="CPG" type="5" refreshedVersion="6" minRefreshableVersion="3" saveData="1">
    <dbPr connection="Provider=Microsoft.Office.List.OLEDB.2.0;Data Source=&quot;&quot;;ApplicationName=Excel;Version=12.0.0.0" command="&lt;LIST&gt;&lt;VIEWGUID&gt;{DA328EF1-407D-4282-94A9-B411E0484D77}&lt;/VIEWGUID&gt;&lt;LISTNAME&gt;{3484CD14-71F3-4604-BACA-882BBC35DC43}&lt;/LISTNAME&gt;&lt;LISTWEB&gt;https://kalypso.sharepoint.com/operations/PI/PIW2014/_vti_bin&lt;/LISTWEB&gt;&lt;LISTSUBWEB&gt;&lt;/LISTSUBWEB&gt;&lt;ROOTFOLDER&gt;/operations/PI/PIW2014/Lists/CPG&lt;/ROOTFOLDER&gt;&lt;/LIST&gt;" commandType="5"/>
  </connection>
  <connection id="2" xr16:uid="{00000000-0015-0000-FFFF-FFFF01000000}" odcFile="C:\Users\Kalypso-7\Downloads\DEPTLIST.iqy" keepAlive="1" name="DEPTLIST" type="5" refreshedVersion="6" minRefreshableVersion="3" saveData="1">
    <dbPr connection="Provider=Microsoft.Office.List.OLEDB.2.0;Data Source=&quot;&quot;;ApplicationName=Excel;Version=12.0.0.0" command="&lt;LIST&gt;&lt;VIEWGUID&gt;{CBAC8947-5199-4DF3-82C7-9200FDEB0FEB}&lt;/VIEWGUID&gt;&lt;LISTNAME&gt;{38487F13-B437-4FA8-901C-847ED51D069C}&lt;/LISTNAME&gt;&lt;LISTWEB&gt;https://kalypso.sharepoint.com/operations/PI/PIW2014/_vti_bin&lt;/LISTWEB&gt;&lt;LISTSUBWEB&gt;&lt;/LISTSUBWEB&gt;&lt;ROOTFOLDER&gt;/operations/PI/PIW2014/Lists/DeptList&lt;/ROOTFOLDER&gt;&lt;/LIST&gt;" commandType="5"/>
  </connection>
  <connection id="3" xr16:uid="{00000000-0015-0000-FFFF-FFFF02000000}" odcFile="C:\Users\Kalypso-7\Downloads\EmplList3.iqy" keepAlive="1" name="EmplList3" type="5" refreshedVersion="6" minRefreshableVersion="3" saveData="1">
    <dbPr connection="Provider=Microsoft.Office.List.OLEDB.2.0;Data Source=&quot;&quot;;ApplicationName=Excel;Version=12.0.0.0" command="&lt;LIST&gt;&lt;VIEWGUID&gt;{04E23C76-C5BF-49E8-9338-522B7B2869B0}&lt;/VIEWGUID&gt;&lt;LISTNAME&gt;{324825E4-0063-4844-9AA0-1A938E7EA4AA}&lt;/LISTNAME&gt;&lt;LISTWEB&gt;https://kalypso.sharepoint.com/operations/PI/PIW2014/_vti_bin&lt;/LISTWEB&gt;&lt;LISTSUBWEB&gt;&lt;/LISTSUBWEB&gt;&lt;ROOTFOLDER&gt;/operations/PI/PIW2014/Lists/EmplList3&lt;/ROOTFOLDER&gt;&lt;/LIST&gt;" commandType="5"/>
  </connection>
  <connection id="4" xr16:uid="{00000000-0015-0000-FFFF-FFFF03000000}" odcFile="C:\Users\Reyna Flores\Downloads\High Tech.iqy" keepAlive="1" name="High Tech" type="5" refreshedVersion="6" minRefreshableVersion="3" saveData="1">
    <dbPr connection="Provider=Microsoft.Office.List.OLEDB.2.0;Data Source=&quot;&quot;;ApplicationName=Excel;Version=12.0.0.0" command="&lt;LIST&gt;&lt;VIEWGUID&gt;{37C5DCC0-695B-4F1D-8C26-1DBDEED1A142}&lt;/VIEWGUID&gt;&lt;LISTNAME&gt;{BEB929C4-C9A5-4FB4-8E49-24C40DCB272A}&lt;/LISTNAME&gt;&lt;LISTWEB&gt;https://kalypso.sharepoint.com/operations/PI/PIW2014/_vti_bin&lt;/LISTWEB&gt;&lt;LISTSUBWEB&gt;&lt;/LISTSUBWEB&gt;&lt;ROOTFOLDER&gt;/operations/PI/PIW2014/Lists/High Tech&lt;/ROOTFOLDER&gt;&lt;/LIST&gt;" commandType="5"/>
  </connection>
  <connection id="5" xr16:uid="{00000000-0015-0000-FFFF-FFFF04000000}" odcFile="C:\Users\Reyna Flores\Downloads\industry.iqy" keepAlive="1" name="industry" type="5" refreshedVersion="6" minRefreshableVersion="3" saveData="1">
    <dbPr connection="Provider=Microsoft.Office.List.OLEDB.2.0;Data Source=&quot;&quot;;ApplicationName=Excel;Version=12.0.0.0" command="&lt;LIST&gt;&lt;VIEWGUID&gt;{A2794E47-3236-4DA0-9B59-9533FB83FDD0}&lt;/VIEWGUID&gt;&lt;LISTNAME&gt;{F38F4DF4-2396-4C20-A2ED-52161C1EB8BE}&lt;/LISTNAME&gt;&lt;LISTWEB&gt;https://kalypso.sharepoint.com/operations/PI/PIW2014/_vti_bin&lt;/LISTWEB&gt;&lt;LISTSUBWEB&gt;&lt;/LISTSUBWEB&gt;&lt;ROOTFOLDER&gt;/operations/PI/PIW2014/Lists/Industry&lt;/ROOTFOLDER&gt;&lt;/LIST&gt;" commandType="5"/>
  </connection>
  <connection id="6" xr16:uid="{00000000-0015-0000-FFFF-FFFF05000000}" odcFile="C:\Users\Reyna Flores\Downloads\Life Sciences.iqy" keepAlive="1" name="Life Sciences" type="5" refreshedVersion="6" minRefreshableVersion="3" saveData="1">
    <dbPr connection="Provider=Microsoft.Office.List.OLEDB.2.0;Data Source=&quot;&quot;;ApplicationName=Excel;Version=12.0.0.0" command="&lt;LIST&gt;&lt;VIEWGUID&gt;{9310A5F2-46D8-41B9-AA2E-68C99CD86AF4}&lt;/VIEWGUID&gt;&lt;LISTNAME&gt;{53B9BDAE-A99B-40B0-8DEC-38205ED07956}&lt;/LISTNAME&gt;&lt;LISTWEB&gt;https://kalypso.sharepoint.com/operations/PI/PIW2014/_vti_bin&lt;/LISTWEB&gt;&lt;LISTSUBWEB&gt;&lt;/LISTSUBWEB&gt;&lt;ROOTFOLDER&gt;/operations/PI/PIW2014/Lists/Life Sciences&lt;/ROOTFOLDER&gt;&lt;/LIST&gt;" commandType="5"/>
  </connection>
  <connection id="7" xr16:uid="{00000000-0015-0000-FFFF-FFFF06000000}" odcFile="C:\Users\Reyna Flores\Downloads\Manufacturing.iqy" keepAlive="1" name="Manufacturing" type="5" refreshedVersion="6" minRefreshableVersion="3" saveData="1">
    <dbPr connection="Provider=Microsoft.Office.List.OLEDB.2.0;Data Source=&quot;&quot;;ApplicationName=Excel;Version=12.0.0.0" command="&lt;LIST&gt;&lt;VIEWGUID&gt;{7C13650B-4A38-42E9-A1B8-7C2090FBEDF4}&lt;/VIEWGUID&gt;&lt;LISTNAME&gt;{FFD71C0B-C31E-42A4-B168-4B9760ACAA5E}&lt;/LISTNAME&gt;&lt;LISTWEB&gt;https://kalypso.sharepoint.com/operations/PI/PIW2014/_vti_bin&lt;/LISTWEB&gt;&lt;LISTSUBWEB&gt;&lt;/LISTSUBWEB&gt;&lt;ROOTFOLDER&gt;/operations/PI/PIW2014/Lists/Manufacturing&lt;/ROOTFOLDER&gt;&lt;/LIST&gt;" commandType="5"/>
  </connection>
  <connection id="8" xr16:uid="{00000000-0015-0000-FFFF-FFFF07000000}" odcFile="C:\Users\Kalypso-7\Downloads\NearShore.iqy" keepAlive="1" name="NearShore" type="5" refreshedVersion="6" minRefreshableVersion="3" saveData="1">
    <dbPr connection="Provider=Microsoft.Office.List.OLEDB.2.0;Data Source=&quot;&quot;;ApplicationName=Excel;Version=12.0.0.0" command="&lt;LIST&gt;&lt;VIEWGUID&gt;{F686A639-FD5F-4411-9FE5-1CBF53033A8F}&lt;/VIEWGUID&gt;&lt;LISTNAME&gt;{29E933A4-8072-4180-BFC0-198F318DC4C9}&lt;/LISTNAME&gt;&lt;LISTWEB&gt;https://kalypso.sharepoint.com/operations/PI/PIW2014/_vti_bin&lt;/LISTWEB&gt;&lt;LISTSUBWEB&gt;&lt;/LISTSUBWEB&gt;&lt;ROOTFOLDER&gt;/operations/PI/PIW2014/Lists/NearShore&lt;/ROOTFOLDER&gt;&lt;/LIST&gt;" commandType="5"/>
  </connection>
  <connection id="9" xr16:uid="{00000000-0015-0000-FFFF-FFFF08000000}" odcFile="C:\Users\Reyna Flores\Downloads\Other.iqy" keepAlive="1" name="Other" type="5" refreshedVersion="6" minRefreshableVersion="3" saveData="1">
    <dbPr connection="Provider=Microsoft.Office.List.OLEDB.2.0;Data Source=&quot;&quot;;ApplicationName=Excel;Version=12.0.0.0" command="&lt;LIST&gt;&lt;VIEWGUID&gt;{02AC4C8A-D83E-4F4D-97CD-19F9ADC561F4}&lt;/VIEWGUID&gt;&lt;LISTNAME&gt;{DB99C44F-DBE2-42CC-A502-15731BD906D3}&lt;/LISTNAME&gt;&lt;LISTWEB&gt;https://kalypso.sharepoint.com/operations/PI/PIW2014/_vti_bin&lt;/LISTWEB&gt;&lt;LISTSUBWEB&gt;&lt;/LISTSUBWEB&gt;&lt;ROOTFOLDER&gt;/operations/PI/PIW2014/Lists/Other&lt;/ROOTFOLDER&gt;&lt;/LIST&gt;" commandType="5"/>
  </connection>
  <connection id="10" xr16:uid="{00000000-0015-0000-FFFF-FFFF09000000}" odcFile="C:\Users\Kalypso-7\Downloads\Rates.iqy" keepAlive="1" name="Rates" type="5" refreshedVersion="6" minRefreshableVersion="3" saveData="1">
    <dbPr connection="Provider=Microsoft.Office.List.OLEDB.2.0;Data Source=&quot;&quot;;ApplicationName=Excel;Version=12.0.0.0" command="&lt;LIST&gt;&lt;VIEWGUID&gt;{5B8EA62E-EB5B-43CF-ACCF-399E1F60E24B}&lt;/VIEWGUID&gt;&lt;LISTNAME&gt;{426DE1BE-19F2-43E4-AA83-922ED2A1C62A}&lt;/LISTNAME&gt;&lt;LISTWEB&gt;https://kalypso.sharepoint.com/operations/PI/PIW2014/_vti_bin&lt;/LISTWEB&gt;&lt;LISTSUBWEB&gt;&lt;/LISTSUBWEB&gt;&lt;ROOTFOLDER&gt;/operations/PI/PIW2014/Lists/Rates&lt;/ROOTFOLDER&gt;&lt;/LIST&gt;" commandType="5"/>
  </connection>
  <connection id="11" xr16:uid="{00000000-0015-0000-FFFF-FFFF0A000000}" odcFile="C:\Users\Reyna Flores\Downloads\Relationship.iqy" keepAlive="1" name="Relationship" type="5" refreshedVersion="6" minRefreshableVersion="3" saveData="1">
    <dbPr connection="Provider=Microsoft.Office.List.OLEDB.2.0;Data Source=&quot;&quot;;ApplicationName=Excel;Version=12.0.0.0" command="&lt;LIST&gt;&lt;VIEWGUID&gt;{3E651748-8B37-46FE-8558-7A23AC0E3C57}&lt;/VIEWGUID&gt;&lt;LISTNAME&gt;{0735DCB3-EFED-40A5-8660-12AF9EED1FDA}&lt;/LISTNAME&gt;&lt;LISTWEB&gt;https://kalypso.sharepoint.com/operations/PI/PIW2014/_vti_bin&lt;/LISTWEB&gt;&lt;LISTSUBWEB&gt;&lt;/LISTSUBWEB&gt;&lt;ROOTFOLDER&gt;/operations/PI/PIW2014/Lists/Relationship&lt;/ROOTFOLDER&gt;&lt;/LIST&gt;" commandType="5"/>
  </connection>
  <connection id="12" xr16:uid="{00000000-0015-0000-FFFF-FFFF0B000000}" odcFile="C:\Users\Reyna Flores\Downloads\Retail.iqy" keepAlive="1" name="Retail" type="5" refreshedVersion="6" minRefreshableVersion="3" saveData="1">
    <dbPr connection="Provider=Microsoft.Office.List.OLEDB.2.0;Data Source=&quot;&quot;;ApplicationName=Excel;Version=12.0.0.0" command="&lt;LIST&gt;&lt;VIEWGUID&gt;{DB60F4E5-BAC0-4FA1-B537-DB265983CE32}&lt;/VIEWGUID&gt;&lt;LISTNAME&gt;{B27DCB94-7036-4799-A0DD-A8A7CFA52544}&lt;/LISTNAME&gt;&lt;LISTWEB&gt;https://kalypso.sharepoint.com/operations/PI/PIW2014/_vti_bin&lt;/LISTWEB&gt;&lt;LISTSUBWEB&gt;&lt;/LISTSUBWEB&gt;&lt;ROOTFOLDER&gt;/operations/PI/PIW2014/Lists/Retail&lt;/ROOTFOLDER&gt;&lt;/LIST&gt;" commandType="5"/>
  </connection>
  <connection id="13" xr16:uid="{00000000-0015-0000-FFFF-FFFF0C000000}" odcFile="C:\Users\TaniaGarrido\Downloads\SrMgrFellow.iqy" keepAlive="1" name="SrMgrFellow" type="5" refreshedVersion="6" minRefreshableVersion="3" saveData="1">
    <dbPr connection="Provider=Microsoft.Office.List.OLEDB.2.0;Data Source=&quot;&quot;;ApplicationName=Excel;Version=12.0.0.0" command="&lt;LIST&gt;&lt;VIEWGUID&gt;{7e9506bf-8d7a-480b-8bab-d5aa0c0fa997}&lt;/VIEWGUID&gt;&lt;LISTNAME&gt;{E4BF976C-C57F-41CD-AB52-C797DA600D62}&lt;/LISTNAME&gt;&lt;LISTWEB&gt;https://kalypso.sharepoint.com/operations/PI/PIW2014/_vti_bin&lt;/LISTWEB&gt;&lt;LISTSUBWEB&gt;&lt;/LISTSUBWEB&gt;&lt;ROOTFOLDER&gt;/operations/PI/PIW2014/Lists/NewList&lt;/ROOTFOLDER&gt;&lt;/LIST&gt;" commandType="5"/>
  </connection>
  <connection id="14" xr16:uid="{00000000-0015-0000-FFFF-FFFF0D000000}" odcFile="C:\Users\Reyna Flores\Downloads\State or Country.iqy" keepAlive="1" name="State or Country" type="5" refreshedVersion="6" minRefreshableVersion="3" saveData="1">
    <dbPr connection="Provider=Microsoft.Office.List.OLEDB.2.0;Data Source=&quot;&quot;;ApplicationName=Excel;Version=12.0.0.0" command="&lt;LIST&gt;&lt;VIEWGUID&gt;{E023BFD6-9405-4B51-BEFB-D9BA69AE3D73}&lt;/VIEWGUID&gt;&lt;LISTNAME&gt;{3AFC6846-D15F-49E9-A469-83C48EAA2279}&lt;/LISTNAME&gt;&lt;LISTWEB&gt;https://kalypso.sharepoint.com/operations/PI/PIW2014/_vti_bin&lt;/LISTWEB&gt;&lt;LISTSUBWEB&gt;&lt;/LISTSUBWEB&gt;&lt;ROOTFOLDER&gt;/operations/PI/PIW2014/Lists/State or Country&lt;/ROOTFOLDER&gt;&lt;/LIST&gt;" commandType="5"/>
  </connection>
  <connection id="15" xr16:uid="{00000000-0015-0000-FFFF-FFFF0E000000}" odcFile="C:\Users\Kalypso-7\Downloads\SvcArea.iqy" keepAlive="1" name="SvcArea" type="5" refreshedVersion="6" minRefreshableVersion="3" saveData="1">
    <dbPr connection="Provider=Microsoft.Office.List.OLEDB.2.0;Data Source=&quot;&quot;;ApplicationName=Excel;Version=12.0.0.0" command="&lt;LIST&gt;&lt;VIEWGUID&gt;{2EF3767C-4145-4D40-8963-F053197B9927}&lt;/VIEWGUID&gt;&lt;LISTNAME&gt;{18029B12-533C-4BDF-A94A-5FF6085ADA7B}&lt;/LISTNAME&gt;&lt;LISTWEB&gt;https://kalypso.sharepoint.com/operations/PI/PIW2014/_vti_bin&lt;/LISTWEB&gt;&lt;LISTSUBWEB&gt;&lt;/LISTSUBWEB&gt;&lt;ROOTFOLDER&gt;/operations/PI/PIW2014/Lists/SvcArea&lt;/ROOTFOLDER&gt;&lt;/LIST&gt;" commandType="5"/>
  </connection>
</connections>
</file>

<file path=xl/sharedStrings.xml><?xml version="1.0" encoding="utf-8"?>
<sst xmlns="http://schemas.openxmlformats.org/spreadsheetml/2006/main" count="2651" uniqueCount="699">
  <si>
    <t>Firm Level</t>
  </si>
  <si>
    <t>Hourly Rate</t>
  </si>
  <si>
    <t>Week 1</t>
  </si>
  <si>
    <t>Week 2</t>
  </si>
  <si>
    <t>Week 3</t>
  </si>
  <si>
    <t>Week 4</t>
  </si>
  <si>
    <t>Week 5</t>
  </si>
  <si>
    <t>Week 6</t>
  </si>
  <si>
    <t>Week 7</t>
  </si>
  <si>
    <t>Week 8</t>
  </si>
  <si>
    <t>Week 9</t>
  </si>
  <si>
    <t>Week 10</t>
  </si>
  <si>
    <t>Week 11</t>
  </si>
  <si>
    <t>Week 12</t>
  </si>
  <si>
    <t>Week 13</t>
  </si>
  <si>
    <t>Week 14</t>
  </si>
  <si>
    <t>Week 15</t>
  </si>
  <si>
    <t>Week 16</t>
  </si>
  <si>
    <t>Week 17</t>
  </si>
  <si>
    <t>Week 18</t>
  </si>
  <si>
    <t>Week 19</t>
  </si>
  <si>
    <t>Week 20</t>
  </si>
  <si>
    <t>Week 21</t>
  </si>
  <si>
    <t>Week 22</t>
  </si>
  <si>
    <t>Week 23</t>
  </si>
  <si>
    <t>Week 24</t>
  </si>
  <si>
    <t xml:space="preserve">Budgeted Hours </t>
  </si>
  <si>
    <t xml:space="preserve">Normalized Revenue </t>
  </si>
  <si>
    <t>Revenue at Standard</t>
  </si>
  <si>
    <t xml:space="preserve">Normalized Rate </t>
  </si>
  <si>
    <t>Project      Rate</t>
  </si>
  <si>
    <t>Standard Rate</t>
  </si>
  <si>
    <t>Hourly     Cost</t>
  </si>
  <si>
    <t>DeptList</t>
  </si>
  <si>
    <t>Title</t>
  </si>
  <si>
    <t>StdRates</t>
  </si>
  <si>
    <t>SvcArea</t>
  </si>
  <si>
    <t>Time &amp; Materials</t>
  </si>
  <si>
    <t>PLM Implementation - Other</t>
  </si>
  <si>
    <t>Realization Rate</t>
  </si>
  <si>
    <t>Project Initiation Form</t>
  </si>
  <si>
    <t>Today's Date:</t>
  </si>
  <si>
    <t>Client Code Prefix:</t>
  </si>
  <si>
    <t>PLM Strategy</t>
  </si>
  <si>
    <t>Project Description:</t>
  </si>
  <si>
    <t>Project Timing:</t>
  </si>
  <si>
    <t>Planned Number of Weeks:</t>
  </si>
  <si>
    <t>Project Financials:</t>
  </si>
  <si>
    <t>Invoicing Frequency:</t>
  </si>
  <si>
    <t>Client Information:</t>
  </si>
  <si>
    <t>Primary Contact Name:</t>
  </si>
  <si>
    <t>Address:</t>
  </si>
  <si>
    <t>Phone Number:</t>
  </si>
  <si>
    <t>Fax Number:</t>
  </si>
  <si>
    <t>eMail Address:</t>
  </si>
  <si>
    <t>ContractType</t>
  </si>
  <si>
    <t>Firm Equivalent Help Section</t>
  </si>
  <si>
    <t>$125*3.5 =</t>
  </si>
  <si>
    <t>$437.50</t>
  </si>
  <si>
    <t>greater than +/-$37.50 difference, so resource firm equivalent should be changed</t>
  </si>
  <si>
    <t xml:space="preserve">If you are using a Contractor on this project, it is important to estimate what level of expertise the resource is by Kalypso Standards. This can be determined by gauging the hourly cost for the contractor times 3.5, and comparing it to the Kalypso standard rate chart below.  </t>
  </si>
  <si>
    <t>Week 25</t>
  </si>
  <si>
    <t>Week 26</t>
  </si>
  <si>
    <t>Week 27</t>
  </si>
  <si>
    <t>Week 28</t>
  </si>
  <si>
    <t>Week 29</t>
  </si>
  <si>
    <t>Week 30</t>
  </si>
  <si>
    <t>Week 31</t>
  </si>
  <si>
    <t>Week 32</t>
  </si>
  <si>
    <t>Week 33</t>
  </si>
  <si>
    <t>Week 34</t>
  </si>
  <si>
    <t>Week 35</t>
  </si>
  <si>
    <t>Week 36</t>
  </si>
  <si>
    <t>Week 37</t>
  </si>
  <si>
    <t>Week 38</t>
  </si>
  <si>
    <t>Week 39</t>
  </si>
  <si>
    <t>Week 40</t>
  </si>
  <si>
    <t>Week 41</t>
  </si>
  <si>
    <t>Week 42</t>
  </si>
  <si>
    <t>Week 43</t>
  </si>
  <si>
    <t>Week 44</t>
  </si>
  <si>
    <t>Week 45</t>
  </si>
  <si>
    <t>Week 46</t>
  </si>
  <si>
    <t>Week 47</t>
  </si>
  <si>
    <t>Week 48</t>
  </si>
  <si>
    <t>Week 49</t>
  </si>
  <si>
    <t>Week 50</t>
  </si>
  <si>
    <t>Week 51</t>
  </si>
  <si>
    <t>Week 52</t>
  </si>
  <si>
    <t>Total Fee Revenue</t>
  </si>
  <si>
    <t>Total Fixed Fee</t>
  </si>
  <si>
    <t>Less: Inclusive Expenses (if Fixed Fee + Expenses, then enter 0)</t>
  </si>
  <si>
    <t>Client Company Name:</t>
  </si>
  <si>
    <t>AK</t>
  </si>
  <si>
    <t>AL</t>
  </si>
  <si>
    <t>AZ</t>
  </si>
  <si>
    <t>CA</t>
  </si>
  <si>
    <t>CT</t>
  </si>
  <si>
    <t>DE</t>
  </si>
  <si>
    <t>FL</t>
  </si>
  <si>
    <t>GA</t>
  </si>
  <si>
    <t>HI</t>
  </si>
  <si>
    <t>IA</t>
  </si>
  <si>
    <t>IN</t>
  </si>
  <si>
    <t>IL</t>
  </si>
  <si>
    <t>ID</t>
  </si>
  <si>
    <t>KY</t>
  </si>
  <si>
    <t>KS</t>
  </si>
  <si>
    <t>LA</t>
  </si>
  <si>
    <t>MA</t>
  </si>
  <si>
    <t>MO</t>
  </si>
  <si>
    <t>MI</t>
  </si>
  <si>
    <t>ME</t>
  </si>
  <si>
    <t>MD</t>
  </si>
  <si>
    <t>MT</t>
  </si>
  <si>
    <t>ND</t>
  </si>
  <si>
    <t>NC</t>
  </si>
  <si>
    <t>NV</t>
  </si>
  <si>
    <t>NE</t>
  </si>
  <si>
    <t>NM</t>
  </si>
  <si>
    <t>NJ</t>
  </si>
  <si>
    <t>NY</t>
  </si>
  <si>
    <t>NH</t>
  </si>
  <si>
    <t>OH</t>
  </si>
  <si>
    <t>OK</t>
  </si>
  <si>
    <t>OR</t>
  </si>
  <si>
    <t>PA</t>
  </si>
  <si>
    <t>RI</t>
  </si>
  <si>
    <t>SC</t>
  </si>
  <si>
    <t>SD</t>
  </si>
  <si>
    <t>TX</t>
  </si>
  <si>
    <t>TN</t>
  </si>
  <si>
    <t>UT</t>
  </si>
  <si>
    <t>WV</t>
  </si>
  <si>
    <t>WY</t>
  </si>
  <si>
    <t>WI</t>
  </si>
  <si>
    <t>MS</t>
  </si>
  <si>
    <t>WA</t>
  </si>
  <si>
    <t>MN</t>
  </si>
  <si>
    <t>AR</t>
  </si>
  <si>
    <t>VA</t>
  </si>
  <si>
    <t>VT</t>
  </si>
  <si>
    <t>Director</t>
  </si>
  <si>
    <t>PLM Implementation - Dassault</t>
  </si>
  <si>
    <t>Manager - 2</t>
  </si>
  <si>
    <t>Manager - 1</t>
  </si>
  <si>
    <t>Analyst - 1</t>
  </si>
  <si>
    <t>Consultant - 2</t>
  </si>
  <si>
    <t>Sr Consultant - 1</t>
  </si>
  <si>
    <t>Sr Consultant - 2</t>
  </si>
  <si>
    <t>Sr Manager - 1</t>
  </si>
  <si>
    <t>Sr Manager - 2</t>
  </si>
  <si>
    <t>Analyst - 2</t>
  </si>
  <si>
    <t>Consultant - 1</t>
  </si>
  <si>
    <t>Partner</t>
  </si>
  <si>
    <t>Summer Associate</t>
  </si>
  <si>
    <t>EmplList3</t>
  </si>
  <si>
    <t>Business &amp; Innovation Strategy</t>
  </si>
  <si>
    <t>PLM Implementation - Oracle</t>
  </si>
  <si>
    <t>PLM Implementation - PTC</t>
  </si>
  <si>
    <t>Industry</t>
  </si>
  <si>
    <t>Other</t>
  </si>
  <si>
    <t>Relationship</t>
  </si>
  <si>
    <t>Clarity</t>
  </si>
  <si>
    <t>Dassault</t>
  </si>
  <si>
    <t>Sopheon</t>
  </si>
  <si>
    <t>Revenue Accrual Rate</t>
  </si>
  <si>
    <t>Revenue Accrual Rate:</t>
  </si>
  <si>
    <t>Senior Manager - 2</t>
  </si>
  <si>
    <t>Director/Sr. Manager - 1</t>
  </si>
  <si>
    <t>Senior Consultant - 2</t>
  </si>
  <si>
    <t>Senior Consultant - 1</t>
  </si>
  <si>
    <t>There is a +/- allowance of $37.50 for the level you choose and the hourly cost you indicate.  For instance if you choose a level of Manager-1, and indicate an hourly cost of $125, you have not met the criteria for marking this resource as a Manager:</t>
  </si>
  <si>
    <t>$350.00</t>
  </si>
  <si>
    <t>-$87.50</t>
  </si>
  <si>
    <t>Contractor Margin</t>
  </si>
  <si>
    <t>Margin</t>
  </si>
  <si>
    <t>Contractor  Name</t>
  </si>
  <si>
    <t>Project Hourly Rate</t>
  </si>
  <si>
    <t>Cost for Project</t>
  </si>
  <si>
    <t>Contractor Name</t>
  </si>
  <si>
    <t>Project Revenue</t>
  </si>
  <si>
    <t>Subtotal:</t>
  </si>
  <si>
    <t xml:space="preserve">Subtotal: </t>
  </si>
  <si>
    <t>PLM Implementation - Siemens</t>
  </si>
  <si>
    <t>Siemens</t>
  </si>
  <si>
    <t>Footwear &amp; Apparel</t>
  </si>
  <si>
    <t>Medical Device</t>
  </si>
  <si>
    <t>Semiconductor</t>
  </si>
  <si>
    <t>Intellectual Property Management</t>
  </si>
  <si>
    <t>Partner - 2</t>
  </si>
  <si>
    <t>PTC</t>
  </si>
  <si>
    <t>Oracle</t>
  </si>
  <si>
    <t>Summer Assoc</t>
  </si>
  <si>
    <t>Business Intelligence &amp; Innovation Analytics</t>
  </si>
  <si>
    <t>Week 53</t>
  </si>
  <si>
    <t>Week 54</t>
  </si>
  <si>
    <t>Week 55</t>
  </si>
  <si>
    <t>Week 56</t>
  </si>
  <si>
    <t>Week 57</t>
  </si>
  <si>
    <t>Week 58</t>
  </si>
  <si>
    <t>Week 59</t>
  </si>
  <si>
    <t>Week 60</t>
  </si>
  <si>
    <t>Week 61</t>
  </si>
  <si>
    <t>Week 62</t>
  </si>
  <si>
    <t>Week 63</t>
  </si>
  <si>
    <t>Week 64</t>
  </si>
  <si>
    <t>Week 65</t>
  </si>
  <si>
    <t>Week 66</t>
  </si>
  <si>
    <t>Week 67</t>
  </si>
  <si>
    <t>Week 68</t>
  </si>
  <si>
    <t>Week 69</t>
  </si>
  <si>
    <t>Week 70</t>
  </si>
  <si>
    <t>Week 71</t>
  </si>
  <si>
    <t>Week 72</t>
  </si>
  <si>
    <t>Week 73</t>
  </si>
  <si>
    <t>Week 74</t>
  </si>
  <si>
    <t>Week 75</t>
  </si>
  <si>
    <t>Week 76</t>
  </si>
  <si>
    <t>Project Controller</t>
  </si>
  <si>
    <t>Adams, Emily</t>
  </si>
  <si>
    <t>Allen, Trey</t>
  </si>
  <si>
    <t>Arnold, Heather</t>
  </si>
  <si>
    <t>Beattie, Cameron</t>
  </si>
  <si>
    <t>Birtsas, Stephen</t>
  </si>
  <si>
    <t>Capps, Jim</t>
  </si>
  <si>
    <t>Chandrasekaran, Prem</t>
  </si>
  <si>
    <t>Chapa, Elsa</t>
  </si>
  <si>
    <t>Dury, Joe</t>
  </si>
  <si>
    <t>Glessner, Michael</t>
  </si>
  <si>
    <t>Goyal, Vipin</t>
  </si>
  <si>
    <t>Gresham, Van</t>
  </si>
  <si>
    <t>Guedea, Thomas</t>
  </si>
  <si>
    <t>Jatheendran, Biju</t>
  </si>
  <si>
    <t>Kishore, Aakarsh</t>
  </si>
  <si>
    <t>Lawrenz, Carsten</t>
  </si>
  <si>
    <t>Martinez, Sergio</t>
  </si>
  <si>
    <t>Milo, Jason</t>
  </si>
  <si>
    <t>Murali, Sajesh</t>
  </si>
  <si>
    <t>Nett, Nick</t>
  </si>
  <si>
    <t>Peterman, Lee</t>
  </si>
  <si>
    <t>Pike, Will</t>
  </si>
  <si>
    <t>Reynolds, Jordan</t>
  </si>
  <si>
    <t>Schimmoller, Howard</t>
  </si>
  <si>
    <t>Schrader, Jason</t>
  </si>
  <si>
    <t>Siegel, Scott</t>
  </si>
  <si>
    <t>Soin, Pamela</t>
  </si>
  <si>
    <t>Speakman, Colin</t>
  </si>
  <si>
    <t>Sun, William</t>
  </si>
  <si>
    <t>Torres, Karla</t>
  </si>
  <si>
    <t>Yester, Will</t>
  </si>
  <si>
    <t>Near Shore L2</t>
  </si>
  <si>
    <t>Adkins, Greg</t>
  </si>
  <si>
    <t xml:space="preserve">Angelus, Helayne </t>
  </si>
  <si>
    <t>Brown, Fred</t>
  </si>
  <si>
    <t>Friedman, Mike</t>
  </si>
  <si>
    <t>Gamble, Scott</t>
  </si>
  <si>
    <t>Mizuno, Richard</t>
  </si>
  <si>
    <t>Poston, Bill</t>
  </si>
  <si>
    <t>Sobelman, Noel</t>
  </si>
  <si>
    <t>Walters, Rod</t>
  </si>
  <si>
    <t>Young, George</t>
  </si>
  <si>
    <t>Broekhof, Mick</t>
  </si>
  <si>
    <t>Ebbing, Niels</t>
  </si>
  <si>
    <t>Pieroni, Lucio</t>
  </si>
  <si>
    <t>Stomp, Reinier</t>
  </si>
  <si>
    <t>NearShore</t>
  </si>
  <si>
    <t xml:space="preserve">Project Revenue </t>
  </si>
  <si>
    <t>Daily Std Rate</t>
  </si>
  <si>
    <t>Daily Project Rate</t>
  </si>
  <si>
    <t>**Firm Standard is 45 Billable Hours/Week for core resources**</t>
  </si>
  <si>
    <t>Budgeted Days</t>
  </si>
  <si>
    <t>Less: Total Contractor Revenue</t>
  </si>
  <si>
    <t>Revenue at Proj Rate</t>
  </si>
  <si>
    <r>
      <rPr>
        <b/>
        <sz val="10"/>
        <color indexed="9"/>
        <rFont val="Calibri"/>
        <family val="2"/>
      </rPr>
      <t>Δ</t>
    </r>
    <r>
      <rPr>
        <b/>
        <sz val="8"/>
        <color indexed="9"/>
        <rFont val="Trebuchet MS"/>
        <family val="2"/>
      </rPr>
      <t xml:space="preserve"> From Standard</t>
    </r>
  </si>
  <si>
    <t>Gibbard, Scott</t>
  </si>
  <si>
    <t>Riordan, Steve</t>
  </si>
  <si>
    <t>US:EU fx</t>
  </si>
  <si>
    <t>USD $</t>
  </si>
  <si>
    <t>EUR €</t>
  </si>
  <si>
    <t>Default is USD</t>
  </si>
  <si>
    <t>Use EU for Std Rates</t>
  </si>
  <si>
    <t>Pelletier, Frederic</t>
  </si>
  <si>
    <t>Core Avg Rate:</t>
  </si>
  <si>
    <t>Planview</t>
  </si>
  <si>
    <t>Planisware</t>
  </si>
  <si>
    <t>PLM-Other</t>
  </si>
  <si>
    <t>PPM-Other</t>
  </si>
  <si>
    <t>Fixed Fee</t>
  </si>
  <si>
    <t>VAT:</t>
  </si>
  <si>
    <t>CPG</t>
  </si>
  <si>
    <t>Retail</t>
  </si>
  <si>
    <t>Home Healthcare Products</t>
  </si>
  <si>
    <t>Personal Care Products</t>
  </si>
  <si>
    <t>Telecom</t>
  </si>
  <si>
    <t>Hardware</t>
  </si>
  <si>
    <t>Software</t>
  </si>
  <si>
    <t>Consumer Electronics</t>
  </si>
  <si>
    <t>Quick Service and Casual Restaurants</t>
  </si>
  <si>
    <t>Grocery</t>
  </si>
  <si>
    <t>Hard Goods</t>
  </si>
  <si>
    <t>Healthcare Providers &amp; Payers</t>
  </si>
  <si>
    <t>Biotech</t>
  </si>
  <si>
    <t>Pharma</t>
  </si>
  <si>
    <t>Consumer Pharma</t>
  </si>
  <si>
    <t>Avg Rate:</t>
  </si>
  <si>
    <t>Chandran, Jay</t>
  </si>
  <si>
    <t>Lozano, Juan Manuel</t>
  </si>
  <si>
    <t>Path</t>
  </si>
  <si>
    <t>Item Type</t>
  </si>
  <si>
    <t>EmplList3 Code</t>
  </si>
  <si>
    <t>NearShore Code</t>
  </si>
  <si>
    <t>Gandhi, Neil</t>
  </si>
  <si>
    <t>Last update:</t>
  </si>
  <si>
    <t>TBD-Summer Associate</t>
  </si>
  <si>
    <t>Cantu, Nestor</t>
  </si>
  <si>
    <t>Montemayor, Selvia</t>
  </si>
  <si>
    <t>Romero, Kissel</t>
  </si>
  <si>
    <t>Bedwell, Devin</t>
  </si>
  <si>
    <t>Hawkins, Kendall</t>
  </si>
  <si>
    <t>Jagarlapudi, Prashant</t>
  </si>
  <si>
    <t>Nasser, Karime</t>
  </si>
  <si>
    <t>Azuara, Jose Antonio</t>
  </si>
  <si>
    <t>Morales, Alan</t>
  </si>
  <si>
    <t>Hassoun, Hala</t>
  </si>
  <si>
    <t>Magouirk, Brittany</t>
  </si>
  <si>
    <t>Miracle, David</t>
  </si>
  <si>
    <t>Mitchell, Tommy</t>
  </si>
  <si>
    <t>Tang, Alex</t>
  </si>
  <si>
    <t>Release Date:</t>
  </si>
  <si>
    <t>Bostan, Ana</t>
  </si>
  <si>
    <t>Stapleton, Traci</t>
  </si>
  <si>
    <t>TBD-Consultant - 1</t>
  </si>
  <si>
    <t>TBD-Consultant - 2</t>
  </si>
  <si>
    <t>TBD-Director</t>
  </si>
  <si>
    <t>TBD-Manager - 1</t>
  </si>
  <si>
    <t>TBD-Manager - 2</t>
  </si>
  <si>
    <t>TBD-Partner</t>
  </si>
  <si>
    <t>TBD-Partner - 2</t>
  </si>
  <si>
    <t>TBD-Sr Consultant - 1</t>
  </si>
  <si>
    <t>TBD-Sr Consultant - 2</t>
  </si>
  <si>
    <t>TBD-Sr Manager - 1</t>
  </si>
  <si>
    <t>Supporting Partner (2):</t>
  </si>
  <si>
    <t>Gonzalez, Eduardo</t>
  </si>
  <si>
    <t>Gutierrez, Cesar</t>
  </si>
  <si>
    <t>Salas, Victoria</t>
  </si>
  <si>
    <t>Zavala, Mauricio</t>
  </si>
  <si>
    <t>n/a</t>
  </si>
  <si>
    <t>Alliance Partner:</t>
  </si>
  <si>
    <t>Trevino, Edith</t>
  </si>
  <si>
    <t>operations/PI/PIW2014/Lists/DeptList</t>
  </si>
  <si>
    <t>operations/PI/PIW2014/Lists/Rates</t>
  </si>
  <si>
    <t>operations/PI/PIW2014/Lists/SvcArea</t>
  </si>
  <si>
    <t/>
  </si>
  <si>
    <t>Totals  (hourly)</t>
  </si>
  <si>
    <t xml:space="preserve">Budgeted Days </t>
  </si>
  <si>
    <t>Near Shore, Project Controllers &amp; Summer Associates</t>
  </si>
  <si>
    <t>Totals (hourly) =</t>
  </si>
  <si>
    <t>Avg Hrly Rate:</t>
  </si>
  <si>
    <t>Creative Services</t>
  </si>
  <si>
    <t>Aldama, Enrique</t>
  </si>
  <si>
    <t>Junior Analyst</t>
  </si>
  <si>
    <t>Sort</t>
  </si>
  <si>
    <t>operations/PI/PIW2014/Lists/EmplList3</t>
  </si>
  <si>
    <t>Adler, Christian</t>
  </si>
  <si>
    <t>Engel, Dirk</t>
  </si>
  <si>
    <t>Stenzel, Kai</t>
  </si>
  <si>
    <t>Vom Bauer, Daniel</t>
  </si>
  <si>
    <t>TBD-Junior Analyst</t>
  </si>
  <si>
    <t>operations/PI/PIW2014/Lists/NearShore</t>
  </si>
  <si>
    <t>Gonzalez, Veronica</t>
  </si>
  <si>
    <t>Hernandez, Fernando</t>
  </si>
  <si>
    <t>Huerta, Miguel</t>
  </si>
  <si>
    <t>Morales, Analilia</t>
  </si>
  <si>
    <t>Contractor Project Role</t>
  </si>
  <si>
    <t>Misra, Sachin</t>
  </si>
  <si>
    <t>Pierson, Sarah</t>
  </si>
  <si>
    <t>Cekada, Drew</t>
  </si>
  <si>
    <t>Oviedo, Danny</t>
  </si>
  <si>
    <t>Mood, Mike</t>
  </si>
  <si>
    <t>Gropper, Andrew</t>
  </si>
  <si>
    <t>Hadfield, Dave</t>
  </si>
  <si>
    <t>Hubert, John</t>
  </si>
  <si>
    <t>Kumar, Pravin</t>
  </si>
  <si>
    <t>Nelson, Jon</t>
  </si>
  <si>
    <t>Panuganti, Haritha</t>
  </si>
  <si>
    <t>Reisch, Nate</t>
  </si>
  <si>
    <t>Van Doren, Kevin</t>
  </si>
  <si>
    <t>Gildea, Mike</t>
  </si>
  <si>
    <t>Gonzales, Vanessa</t>
  </si>
  <si>
    <t>Locke, Austin</t>
  </si>
  <si>
    <t>Singfield, Rein</t>
  </si>
  <si>
    <t>Parekh, Sonia</t>
  </si>
  <si>
    <t>Aranda, Monica</t>
  </si>
  <si>
    <t>Garza, Esteban</t>
  </si>
  <si>
    <t>Hurst, Steve</t>
  </si>
  <si>
    <t>Design</t>
  </si>
  <si>
    <t>Ivanova, Vesy</t>
  </si>
  <si>
    <t>Chapa, Gerardo</t>
  </si>
  <si>
    <t>Gonzalez, Katya</t>
  </si>
  <si>
    <t>Manager - 2A</t>
  </si>
  <si>
    <t>Cummings, Kevin</t>
  </si>
  <si>
    <t>Deogracia, Greg</t>
  </si>
  <si>
    <t>Gross, Abe</t>
  </si>
  <si>
    <t>Moshier, Beth</t>
  </si>
  <si>
    <t>Senior Consultant - 2A</t>
  </si>
  <si>
    <t>Cervantes, Ricardo</t>
  </si>
  <si>
    <t>Cortina, Carlos</t>
  </si>
  <si>
    <t>Technical Analyst - 2</t>
  </si>
  <si>
    <t>Technical Analyst - 1</t>
  </si>
  <si>
    <t>Technical Sr Consultant - 2</t>
  </si>
  <si>
    <t>Techical Sr Consultant - 2</t>
  </si>
  <si>
    <t>Solution Architect - 1</t>
  </si>
  <si>
    <t>Fellow - 2</t>
  </si>
  <si>
    <t>Junior Technical Analyst</t>
  </si>
  <si>
    <t>Technical Consultant - 2</t>
  </si>
  <si>
    <t>Solution Architect - 2</t>
  </si>
  <si>
    <t>Technical Consultant - 1</t>
  </si>
  <si>
    <t>Technical Sr Consultant - 1</t>
  </si>
  <si>
    <t>Fellow - 1</t>
  </si>
  <si>
    <t>Monterrey Summer Assoc</t>
  </si>
  <si>
    <t>Buyon, Nate</t>
  </si>
  <si>
    <t>Garcia, Eugenio</t>
  </si>
  <si>
    <t>Pace, Joshua</t>
  </si>
  <si>
    <t>IT Support</t>
  </si>
  <si>
    <t>Reyna, Antonio</t>
  </si>
  <si>
    <t>TBD - Monterrey Summer Assoc</t>
  </si>
  <si>
    <t>Chitkara, Saurabh</t>
  </si>
  <si>
    <t>NS - Developer</t>
  </si>
  <si>
    <t>NS - Technical Consultant</t>
  </si>
  <si>
    <t>CS - Basic Design</t>
  </si>
  <si>
    <t>NS - Sr Developer</t>
  </si>
  <si>
    <t>CS - Advanced Design</t>
  </si>
  <si>
    <t>CS - Marketing Communications and Video Production</t>
  </si>
  <si>
    <t>de los Reyes, Diego</t>
  </si>
  <si>
    <t>Flores, Cesia</t>
  </si>
  <si>
    <t>Garcia, Martha</t>
  </si>
  <si>
    <t>NS - Sr Support Tech (Pulse)</t>
  </si>
  <si>
    <t>NS - Sr Application Analyst</t>
  </si>
  <si>
    <t>Landa, Ana Cristina</t>
  </si>
  <si>
    <t>NS - Support Tech (Pulse)</t>
  </si>
  <si>
    <t>Perez, Josue</t>
  </si>
  <si>
    <t>Carr, Cameron</t>
  </si>
  <si>
    <t>Crews, Christian</t>
  </si>
  <si>
    <t>Gunia, Stefanie</t>
  </si>
  <si>
    <t>Nagaraj, Sudarshan</t>
  </si>
  <si>
    <t>Posner, Wayne</t>
  </si>
  <si>
    <t>Salyards, Paul</t>
  </si>
  <si>
    <t>Schlehuber, Laura</t>
  </si>
  <si>
    <t>Sheehan, Elyssa</t>
  </si>
  <si>
    <t>Zeller, Chelsea</t>
  </si>
  <si>
    <t>TBD-Analyst - 1</t>
  </si>
  <si>
    <t>TBD-Analyst - 2</t>
  </si>
  <si>
    <t>Digital Innovation</t>
  </si>
  <si>
    <t>PLM Implementation - Aras</t>
  </si>
  <si>
    <t>NS - Application Consultant</t>
  </si>
  <si>
    <t>NS - Support Engineer (Pulse)</t>
  </si>
  <si>
    <t>Industry Segment:               *</t>
  </si>
  <si>
    <t>CPG Segments</t>
  </si>
  <si>
    <t>Food &amp; Beverages</t>
  </si>
  <si>
    <t>operations/PI/PIW2014/Lists/CPG</t>
  </si>
  <si>
    <t>Household Cleaning &amp; Care</t>
  </si>
  <si>
    <t>Tobacco</t>
  </si>
  <si>
    <t>High Tech Segments</t>
  </si>
  <si>
    <t>operations/PI/PIW2014/Lists/High Tech</t>
  </si>
  <si>
    <t>Life Sciences Segments</t>
  </si>
  <si>
    <t>operations/PI/PIW2014/Lists/Life Sciences</t>
  </si>
  <si>
    <t>BioPharma</t>
  </si>
  <si>
    <t>Diagnostic Equipment</t>
  </si>
  <si>
    <t>Retail Segments</t>
  </si>
  <si>
    <t>operations/PI/PIW2014/Lists/Retail</t>
  </si>
  <si>
    <t>Direct Marketer</t>
  </si>
  <si>
    <t>Food &amp; Drug Retailing</t>
  </si>
  <si>
    <t>General Merchandise</t>
  </si>
  <si>
    <t>Other Segments</t>
  </si>
  <si>
    <t>operations/PI/PIW2014/Lists/Other</t>
  </si>
  <si>
    <t>Employee Name</t>
  </si>
  <si>
    <t>Kalypso Project Role</t>
  </si>
  <si>
    <t>TBD-NS - Application Consultant</t>
  </si>
  <si>
    <t>TBD-NS - Developer</t>
  </si>
  <si>
    <t>TBD-NS - Sr Application Analyst</t>
  </si>
  <si>
    <t>TBD-NS - Sr Developer</t>
  </si>
  <si>
    <t>TBD-NS - Sr Support Tech (Pulse)</t>
  </si>
  <si>
    <t>TBD-NS - Support Engineer (Pulse)</t>
  </si>
  <si>
    <t>TBD-NS - Support Tech (Pulse)</t>
  </si>
  <si>
    <t>TBD-NS - Technical Consultant</t>
  </si>
  <si>
    <t>Markle, Chad</t>
  </si>
  <si>
    <t>TBD-Fellow - 1</t>
  </si>
  <si>
    <t>TBD-Fellow - 2</t>
  </si>
  <si>
    <t>TBD-Solution Architect - 1</t>
  </si>
  <si>
    <t>TBD-Solution Architect - 2</t>
  </si>
  <si>
    <t>TBD-Sr Manager - 2</t>
  </si>
  <si>
    <t>TBD-Technical Analyst - 1</t>
  </si>
  <si>
    <t>TBD-Technical Analyst - 2</t>
  </si>
  <si>
    <t>TBD-Technical Consulltant - 2</t>
  </si>
  <si>
    <t>TBD-Technical Consultant - 1</t>
  </si>
  <si>
    <t>TBD-Technical Sr Consultant - 1</t>
  </si>
  <si>
    <t>TBD-Technical Sr Consultant - 2</t>
  </si>
  <si>
    <t>New Product Development Execution</t>
  </si>
  <si>
    <t>Managed Services</t>
  </si>
  <si>
    <t>Master Data Management</t>
  </si>
  <si>
    <t>State or Country</t>
  </si>
  <si>
    <t>operations/PI/PIW2014/Lists/State or Country</t>
  </si>
  <si>
    <t>Mexico</t>
  </si>
  <si>
    <t>France</t>
  </si>
  <si>
    <t>Germany</t>
  </si>
  <si>
    <t>Italy</t>
  </si>
  <si>
    <t>Netherlands</t>
  </si>
  <si>
    <t>United Kingdom</t>
  </si>
  <si>
    <t>Switzerland</t>
  </si>
  <si>
    <t>Spain</t>
  </si>
  <si>
    <t>Portugal</t>
  </si>
  <si>
    <t>Turkey</t>
  </si>
  <si>
    <t>Canada</t>
  </si>
  <si>
    <t>Belgium</t>
  </si>
  <si>
    <t>Columbia</t>
  </si>
  <si>
    <t>Denmark</t>
  </si>
  <si>
    <t>Sweden</t>
  </si>
  <si>
    <t>South Korea</t>
  </si>
  <si>
    <t>China</t>
  </si>
  <si>
    <t>Malaysia</t>
  </si>
  <si>
    <t>Norway</t>
  </si>
  <si>
    <t>Dominican Republic</t>
  </si>
  <si>
    <t>Sri Lanka</t>
  </si>
  <si>
    <t>UAE</t>
  </si>
  <si>
    <t>Australia</t>
  </si>
  <si>
    <t>Japan</t>
  </si>
  <si>
    <t>Puerto Rico</t>
  </si>
  <si>
    <t>operations/PI/PIW2014/Lists/Industry</t>
  </si>
  <si>
    <t>operations/PI/PIW2014/Lists/Relationship</t>
  </si>
  <si>
    <t>Aerospace &amp; Defense</t>
  </si>
  <si>
    <t>operations/PI/PIW2014/Lists/Manufacturing</t>
  </si>
  <si>
    <t>Automotive</t>
  </si>
  <si>
    <t>Chemical</t>
  </si>
  <si>
    <t>Discrete Manufacturing</t>
  </si>
  <si>
    <t>Electronics Hardware</t>
  </si>
  <si>
    <t>Energy</t>
  </si>
  <si>
    <t>Industrial</t>
  </si>
  <si>
    <t>Media</t>
  </si>
  <si>
    <t>Process Industries</t>
  </si>
  <si>
    <t>High_Tech</t>
  </si>
  <si>
    <t>Life_Sciences</t>
  </si>
  <si>
    <t>Service Area</t>
  </si>
  <si>
    <t>Hourly Cost</t>
  </si>
  <si>
    <t>Client:</t>
  </si>
  <si>
    <t>Project:</t>
  </si>
  <si>
    <t>Item</t>
  </si>
  <si>
    <t>Browzwear</t>
  </si>
  <si>
    <t>CLO Virtual Fashion</t>
  </si>
  <si>
    <t>Collibra</t>
  </si>
  <si>
    <t>Optitex</t>
  </si>
  <si>
    <t>Stivo</t>
  </si>
  <si>
    <t>Guatemala</t>
  </si>
  <si>
    <t>Stevenson, Fernando</t>
  </si>
  <si>
    <t>Whittle, Ryan</t>
  </si>
  <si>
    <t>Arora, Gaurav</t>
  </si>
  <si>
    <t>Chavusholu, Tamer</t>
  </si>
  <si>
    <t>Farrington, Ted</t>
  </si>
  <si>
    <t>Lonkar, Anand</t>
  </si>
  <si>
    <t>Macek, William</t>
  </si>
  <si>
    <t>Meader, Ryan</t>
  </si>
  <si>
    <t>Soh, Nick</t>
  </si>
  <si>
    <t>Ward, Nicholas</t>
  </si>
  <si>
    <t>Whetten, Wynchester</t>
  </si>
  <si>
    <t>Enterprise Information Management</t>
  </si>
  <si>
    <t>NS - Tech Sr Consultant</t>
  </si>
  <si>
    <t>TBD-CS - Advanced Design</t>
  </si>
  <si>
    <t>TBD-CS - Basic Design</t>
  </si>
  <si>
    <t>TBD-CS - Marketing Communications and Video Production</t>
  </si>
  <si>
    <t>Buckhout, Dave</t>
  </si>
  <si>
    <t>Taylor, Brian</t>
  </si>
  <si>
    <t>NS - Tech Manager</t>
  </si>
  <si>
    <t>Manager - 2a</t>
  </si>
  <si>
    <t>Pabla, Jasjit</t>
  </si>
  <si>
    <t>Tannoury, Mike</t>
  </si>
  <si>
    <t>Tariq, Iffat</t>
  </si>
  <si>
    <t>Kruse, Nils</t>
  </si>
  <si>
    <t>Industry:                            *</t>
  </si>
  <si>
    <t>Service Area:                      *</t>
  </si>
  <si>
    <t>Supporting Partner:               *</t>
  </si>
  <si>
    <t>Contract Type:                      *</t>
  </si>
  <si>
    <t>State or Country where majority of services will be performed:                           *</t>
  </si>
  <si>
    <t>City where majority of services will be performed:                *</t>
  </si>
  <si>
    <t>Supporting Senior Manager (2):</t>
  </si>
  <si>
    <t>Supporting Senior Manager:</t>
  </si>
  <si>
    <t>Project Name:                       *</t>
  </si>
  <si>
    <t>Project Manager:                   *</t>
  </si>
  <si>
    <t>Project Partner:                    *</t>
  </si>
  <si>
    <t>operations/PI/PIW2014/Lists/NewList</t>
  </si>
  <si>
    <t>SrMgrFellow</t>
  </si>
  <si>
    <t>Leon, Hugo</t>
  </si>
  <si>
    <t>Mendez, Hector</t>
  </si>
  <si>
    <t>Reyes, Montserrat</t>
  </si>
  <si>
    <r>
      <t xml:space="preserve">Planned Start Date:             </t>
    </r>
    <r>
      <rPr>
        <b/>
        <sz val="8"/>
        <color indexed="9"/>
        <rFont val="Trebuchet MS"/>
        <family val="2"/>
      </rPr>
      <t xml:space="preserve">  </t>
    </r>
    <r>
      <rPr>
        <b/>
        <sz val="10"/>
        <color indexed="9"/>
        <rFont val="Trebuchet MS"/>
        <family val="2"/>
      </rPr>
      <t xml:space="preserve"> *</t>
    </r>
  </si>
  <si>
    <r>
      <t xml:space="preserve">Planned End Date:            </t>
    </r>
    <r>
      <rPr>
        <b/>
        <sz val="9"/>
        <color indexed="9"/>
        <rFont val="Trebuchet MS"/>
        <family val="2"/>
      </rPr>
      <t xml:space="preserve">   </t>
    </r>
    <r>
      <rPr>
        <b/>
        <sz val="10"/>
        <color indexed="9"/>
        <rFont val="Trebuchet MS"/>
        <family val="2"/>
      </rPr>
      <t xml:space="preserve"> </t>
    </r>
    <r>
      <rPr>
        <b/>
        <sz val="8"/>
        <color indexed="9"/>
        <rFont val="Trebuchet MS"/>
        <family val="2"/>
      </rPr>
      <t xml:space="preserve"> </t>
    </r>
    <r>
      <rPr>
        <b/>
        <sz val="10"/>
        <color indexed="9"/>
        <rFont val="Trebuchet MS"/>
        <family val="2"/>
      </rPr>
      <t xml:space="preserve"> *</t>
    </r>
  </si>
  <si>
    <t>Action</t>
  </si>
  <si>
    <t>NDA reviewed</t>
  </si>
  <si>
    <t>Mutual NDA executed (signed copy received)</t>
  </si>
  <si>
    <t>Staffing consult performed</t>
  </si>
  <si>
    <t>Proposal and Pricing reviewed</t>
  </si>
  <si>
    <t>MSA reviewed (or existing MSA confirmed as still valid)</t>
  </si>
  <si>
    <t>SOW reviewed</t>
  </si>
  <si>
    <t>Final pricing reviewed</t>
  </si>
  <si>
    <t>Staffing confirmed</t>
  </si>
  <si>
    <t>Subcontractor agreements executed (if needed )</t>
  </si>
  <si>
    <t>Visa / Work Permits confirmed</t>
  </si>
  <si>
    <t>MSA executed (signed copy received and still valid)</t>
  </si>
  <si>
    <t>SOW executed (signed copy received)</t>
  </si>
  <si>
    <t>PO received</t>
  </si>
  <si>
    <t>AP requirements met</t>
  </si>
  <si>
    <t>With or By</t>
  </si>
  <si>
    <t>Legal</t>
  </si>
  <si>
    <t>Client</t>
  </si>
  <si>
    <t>Talent Team</t>
  </si>
  <si>
    <t>MP</t>
  </si>
  <si>
    <t>Legal and MP</t>
  </si>
  <si>
    <t>Subcontractors</t>
  </si>
  <si>
    <t>Assigned Consultants and Talent Team</t>
  </si>
  <si>
    <t>QRM Checklist</t>
  </si>
  <si>
    <t>Huerta, Antonio</t>
  </si>
  <si>
    <t>Jose, Carolina</t>
  </si>
  <si>
    <t>Ramos, Oscar</t>
  </si>
  <si>
    <t>NS - Developer Y1</t>
  </si>
  <si>
    <t>Adams, Emilly</t>
  </si>
  <si>
    <t>sort</t>
  </si>
  <si>
    <t>Comerford, David</t>
  </si>
  <si>
    <t>filter</t>
  </si>
  <si>
    <t>CO</t>
  </si>
  <si>
    <t>Alonso, Hugo</t>
  </si>
  <si>
    <t>Industrial Segments</t>
  </si>
  <si>
    <t>Gonzalez, Elpidio</t>
  </si>
  <si>
    <t>Kiker, Robert</t>
  </si>
  <si>
    <t>Udatha, Chandra</t>
  </si>
  <si>
    <t>Down, Eric</t>
  </si>
  <si>
    <t>Kornet, Kelly</t>
  </si>
  <si>
    <t>Portfolio Management</t>
  </si>
  <si>
    <t>Value Management</t>
  </si>
  <si>
    <t>Assessments &amp; Other</t>
  </si>
  <si>
    <t>Discovery &amp; Ideation</t>
  </si>
  <si>
    <t>Enterprise Innovation Management</t>
  </si>
  <si>
    <t>Organization &amp; Change Management</t>
  </si>
  <si>
    <t>Quality &amp; Compliance Management</t>
  </si>
  <si>
    <t>Martinez, Ruben</t>
  </si>
  <si>
    <t>Crawley, Lauren</t>
  </si>
  <si>
    <t>Dyzers, Olivier</t>
  </si>
  <si>
    <t>Cortes, Emmanuel</t>
  </si>
  <si>
    <t>Perez, Joel</t>
  </si>
  <si>
    <t xml:space="preserve"> </t>
  </si>
  <si>
    <t>Benavides, Martha</t>
  </si>
  <si>
    <t>Tijerina, Melisa</t>
  </si>
  <si>
    <t>Bishoff, William</t>
  </si>
  <si>
    <t>Olsen, Jessi</t>
  </si>
  <si>
    <t>Schweiger, Erv</t>
  </si>
  <si>
    <t>Zimmerman, Allison</t>
  </si>
  <si>
    <t>Alvarez, Daniel</t>
  </si>
  <si>
    <t>Rocha, Andres</t>
  </si>
  <si>
    <t>Torres, Oscar</t>
  </si>
  <si>
    <t>Avila, Eloisa</t>
  </si>
  <si>
    <t>Blanco, Emilio</t>
  </si>
  <si>
    <t>Espinoza, Jorge</t>
  </si>
  <si>
    <t>Garrido, Tania</t>
  </si>
  <si>
    <t>Garza, Arturo</t>
  </si>
  <si>
    <t>Melendez, Francia</t>
  </si>
  <si>
    <t>Alvarado, Adriana</t>
  </si>
  <si>
    <t>Alwine, Christopher</t>
  </si>
  <si>
    <t>Bauer, Hadley</t>
  </si>
  <si>
    <t>Bosse, Charles</t>
  </si>
  <si>
    <t>Chorpenning, Megan</t>
  </si>
  <si>
    <t>Hales, Mackenzie</t>
  </si>
  <si>
    <t>Snell, Blake</t>
  </si>
  <si>
    <t>Wolf, David</t>
  </si>
  <si>
    <t>Senior Manager - 1</t>
  </si>
  <si>
    <t>Herrera, Allan</t>
  </si>
  <si>
    <t>Yepiz, Javier</t>
  </si>
  <si>
    <t>Garza, Alejandro</t>
  </si>
  <si>
    <t>Reeder, Travis</t>
  </si>
  <si>
    <t>Galvan, Armando</t>
  </si>
  <si>
    <t>Valdes, Alejandro</t>
  </si>
  <si>
    <t>Valdes, Oscar</t>
  </si>
  <si>
    <t>Bray, Joann</t>
  </si>
  <si>
    <t>Koreshi, Falak</t>
  </si>
  <si>
    <t>Marroquin, Carolina</t>
  </si>
  <si>
    <t>Infineon</t>
  </si>
  <si>
    <t>INFI</t>
  </si>
  <si>
    <t>PLM Implementation Phase 1a</t>
  </si>
  <si>
    <t>Client Lead</t>
  </si>
  <si>
    <t>QA / Industry SME</t>
  </si>
  <si>
    <t>Project Manager</t>
  </si>
  <si>
    <t>Solution Architect</t>
  </si>
  <si>
    <t>Functional Lead</t>
  </si>
  <si>
    <t>Implementation Support</t>
  </si>
  <si>
    <t>Product Configurator QA</t>
  </si>
  <si>
    <t>Value &amp; Change Management</t>
  </si>
  <si>
    <t>QA Partner</t>
  </si>
  <si>
    <t>Solution Design</t>
  </si>
  <si>
    <t>Infrastructure &amp; Integration</t>
  </si>
  <si>
    <t>Graphics Support</t>
  </si>
  <si>
    <t>PTC Navigate Development</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</si>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</sst>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quot;$&quot;#,##0"/>
    <numFmt numFmtId="165" formatCode="&quot;$&quot;#,##0.00"/>
    <numFmt numFmtId="166" formatCode="[$-409]mmmm\ d\,\ yyyy;@"/>
    <numFmt numFmtId="167" formatCode="0.0000"/>
    <numFmt numFmtId="168" formatCode="###\-###\-####"/>
    <numFmt numFmtId="169" formatCode="m/d/yy;@"/>
    <numFmt numFmtId="170" formatCode="mm/dd/yy;@"/>
    <numFmt numFmtId="171" formatCode="_-[$$-409]* #,##0.00_ ;_-[$$-409]* \-#,##0.00\ ;_-[$$-409]* &quot;-&quot;??_ ;_-@_ "/>
    <numFmt numFmtId="172" formatCode="0.0"/>
    <numFmt numFmtId="173" formatCode="#,##0.0"/>
    <numFmt numFmtId="174" formatCode="\€\ #,##0.00;[Red]\-\(\„\ #,##0.00\)"/>
  </numFmts>
  <fonts count="39" x14ac:knownFonts="1">
    <font>
      <sz val="10"/>
      <name val="Arial"/>
    </font>
    <font>
      <sz val="10"/>
      <name val="Arial"/>
      <family val="2"/>
    </font>
    <font>
      <sz val="8"/>
      <name val="Arial"/>
      <family val="2"/>
    </font>
    <font>
      <sz val="8"/>
      <color indexed="81"/>
      <name val="Tahoma"/>
      <family val="2"/>
    </font>
    <font>
      <b/>
      <i/>
      <sz val="14"/>
      <color indexed="60"/>
      <name val="Trebuchet MS"/>
      <family val="2"/>
    </font>
    <font>
      <b/>
      <sz val="12"/>
      <name val="Trebuchet MS"/>
      <family val="2"/>
    </font>
    <font>
      <sz val="10"/>
      <name val="Trebuchet MS"/>
      <family val="2"/>
    </font>
    <font>
      <b/>
      <sz val="10"/>
      <name val="Trebuchet MS"/>
      <family val="2"/>
    </font>
    <font>
      <b/>
      <u/>
      <sz val="12"/>
      <name val="Trebuchet MS"/>
      <family val="2"/>
    </font>
    <font>
      <u/>
      <sz val="10"/>
      <name val="Trebuchet MS"/>
      <family val="2"/>
    </font>
    <font>
      <b/>
      <sz val="10"/>
      <color indexed="9"/>
      <name val="Trebuchet MS"/>
      <family val="2"/>
    </font>
    <font>
      <b/>
      <sz val="12"/>
      <color indexed="9"/>
      <name val="Trebuchet MS"/>
      <family val="2"/>
    </font>
    <font>
      <b/>
      <sz val="10"/>
      <color rgb="FF762123"/>
      <name val="Trebuchet MS"/>
      <family val="2"/>
    </font>
    <font>
      <sz val="11"/>
      <color rgb="FF000000"/>
      <name val="Arial"/>
      <family val="2"/>
    </font>
    <font>
      <sz val="8"/>
      <name val="Trebuchet MS"/>
      <family val="2"/>
    </font>
    <font>
      <b/>
      <sz val="10"/>
      <color indexed="9"/>
      <name val="Calibri"/>
      <family val="2"/>
    </font>
    <font>
      <b/>
      <sz val="8"/>
      <color indexed="9"/>
      <name val="Trebuchet MS"/>
      <family val="2"/>
    </font>
    <font>
      <sz val="10"/>
      <color theme="1"/>
      <name val="Trebuchet MS"/>
      <family val="2"/>
    </font>
    <font>
      <sz val="10"/>
      <color theme="0"/>
      <name val="Trebuchet MS"/>
      <family val="2"/>
    </font>
    <font>
      <b/>
      <sz val="10"/>
      <color theme="1"/>
      <name val="Trebuchet MS"/>
      <family val="2"/>
    </font>
    <font>
      <sz val="10"/>
      <color rgb="FFFF0000"/>
      <name val="Trebuchet MS"/>
      <family val="2"/>
    </font>
    <font>
      <b/>
      <i/>
      <sz val="10"/>
      <color rgb="FFFF0000"/>
      <name val="Trebuchet MS"/>
      <family val="2"/>
    </font>
    <font>
      <b/>
      <i/>
      <sz val="10"/>
      <color rgb="FF762123"/>
      <name val="Trebuchet MS"/>
      <family val="2"/>
    </font>
    <font>
      <b/>
      <i/>
      <sz val="14"/>
      <color rgb="FFC00000"/>
      <name val="Trebuchet MS"/>
      <family val="2"/>
    </font>
    <font>
      <b/>
      <i/>
      <sz val="12"/>
      <color rgb="FFC00000"/>
      <name val="Trebuchet MS"/>
      <family val="2"/>
    </font>
    <font>
      <sz val="10"/>
      <color rgb="FF000000"/>
      <name val="Arial"/>
      <family val="2"/>
    </font>
    <font>
      <b/>
      <sz val="12"/>
      <color theme="1"/>
      <name val="Trebuchet MS"/>
      <family val="2"/>
    </font>
    <font>
      <b/>
      <sz val="12"/>
      <color theme="0"/>
      <name val="Trebuchet MS"/>
      <family val="2"/>
    </font>
    <font>
      <b/>
      <sz val="10"/>
      <color theme="0"/>
      <name val="Trebuchet MS"/>
      <family val="2"/>
    </font>
    <font>
      <b/>
      <sz val="9"/>
      <color theme="0"/>
      <name val="Trebuchet MS"/>
      <family val="2"/>
    </font>
    <font>
      <b/>
      <sz val="9"/>
      <color theme="1"/>
      <name val="Trebuchet MS"/>
      <family val="2"/>
    </font>
    <font>
      <sz val="12"/>
      <color theme="0"/>
      <name val="Trebuchet MS"/>
      <family val="2"/>
    </font>
    <font>
      <b/>
      <sz val="11"/>
      <color indexed="9"/>
      <name val="Trebuchet MS"/>
      <family val="2"/>
    </font>
    <font>
      <b/>
      <u/>
      <sz val="10"/>
      <color rgb="FF762123"/>
      <name val="Trebuchet MS"/>
      <family val="2"/>
    </font>
    <font>
      <sz val="9"/>
      <color indexed="81"/>
      <name val="Tahoma"/>
      <family val="2"/>
    </font>
    <font>
      <b/>
      <sz val="9"/>
      <color indexed="9"/>
      <name val="Trebuchet MS"/>
      <family val="2"/>
    </font>
    <font>
      <sz val="10"/>
      <color indexed="9"/>
      <name val="Trebuchet MS"/>
      <family val="2"/>
    </font>
    <font>
      <sz val="10"/>
      <color theme="0"/>
      <name val="Arial"/>
      <family val="2"/>
    </font>
    <font>
      <b/>
      <sz val="10"/>
      <color theme="0"/>
      <name val="Arial"/>
      <family val="2"/>
    </font>
  </fonts>
  <fills count="15">
    <fill>
      <patternFill patternType="none"/>
    </fill>
    <fill>
      <patternFill patternType="gray125"/>
    </fill>
    <fill>
      <patternFill patternType="solid">
        <fgColor indexed="9"/>
        <bgColor indexed="64"/>
      </patternFill>
    </fill>
    <fill>
      <patternFill patternType="solid">
        <fgColor indexed="60"/>
        <bgColor indexed="64"/>
      </patternFill>
    </fill>
    <fill>
      <patternFill patternType="solid">
        <fgColor indexed="43"/>
        <bgColor indexed="64"/>
      </patternFill>
    </fill>
    <fill>
      <patternFill patternType="solid">
        <fgColor indexed="22"/>
        <bgColor indexed="64"/>
      </patternFill>
    </fill>
    <fill>
      <patternFill patternType="solid">
        <fgColor indexed="8"/>
        <bgColor indexed="64"/>
      </patternFill>
    </fill>
    <fill>
      <patternFill patternType="darkUp">
        <bgColor indexed="22"/>
      </patternFill>
    </fill>
    <fill>
      <patternFill patternType="solid">
        <fgColor theme="0" tint="-0.14999847407452621"/>
        <bgColor indexed="64"/>
      </patternFill>
    </fill>
    <fill>
      <patternFill patternType="solid">
        <fgColor rgb="FF762123"/>
        <bgColor indexed="64"/>
      </patternFill>
    </fill>
    <fill>
      <patternFill patternType="darkUp">
        <bgColor theme="1"/>
      </patternFill>
    </fill>
    <fill>
      <patternFill patternType="solid">
        <fgColor theme="1"/>
        <bgColor indexed="64"/>
      </patternFill>
    </fill>
    <fill>
      <patternFill patternType="solid">
        <fgColor rgb="FF000000"/>
        <bgColor indexed="64"/>
      </patternFill>
    </fill>
    <fill>
      <patternFill patternType="solid">
        <fgColor theme="0"/>
        <bgColor indexed="64"/>
      </patternFill>
    </fill>
    <fill>
      <patternFill patternType="solid">
        <fgColor rgb="FFFFFF99"/>
        <bgColor rgb="FF000000"/>
      </patternFill>
    </fill>
  </fills>
  <borders count="7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top style="medium">
        <color auto="1"/>
      </top>
      <bottom/>
      <diagonal/>
    </border>
    <border>
      <left/>
      <right style="medium">
        <color auto="1"/>
      </right>
      <top style="medium">
        <color auto="1"/>
      </top>
      <bottom/>
      <diagonal/>
    </border>
    <border>
      <left/>
      <right style="medium">
        <color auto="1"/>
      </right>
      <top style="medium">
        <color auto="1"/>
      </top>
      <bottom style="thin">
        <color auto="1"/>
      </bottom>
      <diagonal/>
    </border>
    <border>
      <left/>
      <right style="medium">
        <color auto="1"/>
      </right>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thin">
        <color auto="1"/>
      </top>
      <bottom style="thin">
        <color auto="1"/>
      </bottom>
      <diagonal/>
    </border>
    <border>
      <left/>
      <right/>
      <top style="medium">
        <color auto="1"/>
      </top>
      <bottom style="thin">
        <color auto="1"/>
      </bottom>
      <diagonal/>
    </border>
    <border>
      <left style="medium">
        <color auto="1"/>
      </left>
      <right/>
      <top/>
      <bottom/>
      <diagonal/>
    </border>
    <border>
      <left style="medium">
        <color auto="1"/>
      </left>
      <right/>
      <top style="medium">
        <color auto="1"/>
      </top>
      <bottom/>
      <diagonal/>
    </border>
    <border>
      <left style="thin">
        <color auto="1"/>
      </left>
      <right/>
      <top/>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style="medium">
        <color auto="1"/>
      </bottom>
      <diagonal/>
    </border>
    <border>
      <left/>
      <right style="thin">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style="thin">
        <color auto="1"/>
      </left>
      <right style="thin">
        <color auto="1"/>
      </right>
      <top/>
      <bottom/>
      <diagonal/>
    </border>
    <border>
      <left style="thin">
        <color auto="1"/>
      </left>
      <right style="medium">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top style="medium">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style="thin">
        <color auto="1"/>
      </right>
      <top style="medium">
        <color auto="1"/>
      </top>
      <bottom style="thin">
        <color auto="1"/>
      </bottom>
      <diagonal/>
    </border>
    <border>
      <left style="thin">
        <color auto="1"/>
      </left>
      <right/>
      <top style="thin">
        <color auto="1"/>
      </top>
      <bottom style="medium">
        <color auto="1"/>
      </bottom>
      <diagonal/>
    </border>
    <border>
      <left style="thin">
        <color auto="1"/>
      </left>
      <right style="thin">
        <color auto="1"/>
      </right>
      <top/>
      <bottom style="double">
        <color auto="1"/>
      </bottom>
      <diagonal/>
    </border>
    <border>
      <left style="thin">
        <color auto="1"/>
      </left>
      <right style="thin">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thin">
        <color auto="1"/>
      </right>
      <top/>
      <bottom/>
      <diagonal/>
    </border>
    <border>
      <left style="thin">
        <color auto="1"/>
      </left>
      <right style="medium">
        <color auto="1"/>
      </right>
      <top style="thin">
        <color auto="1"/>
      </top>
      <bottom/>
      <diagonal/>
    </border>
    <border>
      <left style="medium">
        <color auto="1"/>
      </left>
      <right style="thin">
        <color auto="1"/>
      </right>
      <top style="thin">
        <color auto="1"/>
      </top>
      <bottom/>
      <diagonal/>
    </border>
    <border>
      <left/>
      <right style="thin">
        <color auto="1"/>
      </right>
      <top/>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right style="thin">
        <color auto="1"/>
      </right>
      <top style="medium">
        <color auto="1"/>
      </top>
      <bottom style="medium">
        <color auto="1"/>
      </bottom>
      <diagonal/>
    </border>
    <border>
      <left style="medium">
        <color auto="1"/>
      </left>
      <right/>
      <top style="thin">
        <color auto="1"/>
      </top>
      <bottom/>
      <diagonal/>
    </border>
    <border>
      <left style="thin">
        <color auto="1"/>
      </left>
      <right/>
      <top style="medium">
        <color auto="1"/>
      </top>
      <bottom style="medium">
        <color auto="1"/>
      </bottom>
      <diagonal/>
    </border>
  </borders>
  <cellStyleXfs count="5">
    <xf numFmtId="166" fontId="0"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cellStyleXfs>
  <cellXfs count="352">
    <xf numFmtId="166" fontId="0" fillId="0" borderId="0" xfId="0"/>
    <xf numFmtId="166" fontId="6" fillId="2" borderId="0" xfId="0" applyFont="1" applyFill="1"/>
    <xf numFmtId="6" fontId="6" fillId="2" borderId="0" xfId="0" quotePrefix="1" applyNumberFormat="1" applyFont="1" applyFill="1" applyAlignment="1">
      <alignment horizontal="right"/>
    </xf>
    <xf numFmtId="6" fontId="9" fillId="2" borderId="0" xfId="0" quotePrefix="1" applyNumberFormat="1" applyFont="1" applyFill="1" applyAlignment="1">
      <alignment horizontal="right"/>
    </xf>
    <xf numFmtId="166" fontId="6" fillId="0" borderId="0" xfId="0" applyFont="1" applyProtection="1">
      <protection locked="0"/>
    </xf>
    <xf numFmtId="166" fontId="7" fillId="0" borderId="0" xfId="0" applyFont="1" applyProtection="1">
      <protection locked="0"/>
    </xf>
    <xf numFmtId="166" fontId="5" fillId="0" borderId="12" xfId="0" applyFont="1" applyBorder="1" applyProtection="1">
      <protection locked="0"/>
    </xf>
    <xf numFmtId="166" fontId="6" fillId="0" borderId="12" xfId="0" applyFont="1" applyBorder="1" applyProtection="1">
      <protection locked="0"/>
    </xf>
    <xf numFmtId="166" fontId="6" fillId="0" borderId="13" xfId="0" applyFont="1" applyBorder="1" applyProtection="1">
      <protection locked="0"/>
    </xf>
    <xf numFmtId="166" fontId="10" fillId="3" borderId="19" xfId="0" applyFont="1" applyFill="1" applyBorder="1" applyAlignment="1" applyProtection="1"/>
    <xf numFmtId="166" fontId="10" fillId="3" borderId="20" xfId="0" applyFont="1" applyFill="1" applyBorder="1" applyAlignment="1" applyProtection="1"/>
    <xf numFmtId="166" fontId="10" fillId="3" borderId="21" xfId="0" applyFont="1" applyFill="1" applyBorder="1" applyAlignment="1" applyProtection="1"/>
    <xf numFmtId="166" fontId="6" fillId="4" borderId="22" xfId="0" applyFont="1" applyFill="1" applyBorder="1" applyAlignment="1" applyProtection="1">
      <protection locked="0"/>
    </xf>
    <xf numFmtId="166" fontId="6" fillId="4" borderId="16" xfId="0" applyFont="1" applyFill="1" applyBorder="1" applyAlignment="1" applyProtection="1">
      <protection locked="0"/>
    </xf>
    <xf numFmtId="168" fontId="6" fillId="4" borderId="22" xfId="0" applyNumberFormat="1" applyFont="1" applyFill="1" applyBorder="1" applyAlignment="1" applyProtection="1">
      <protection locked="0"/>
    </xf>
    <xf numFmtId="168" fontId="6" fillId="4" borderId="16" xfId="0" applyNumberFormat="1" applyFont="1" applyFill="1" applyBorder="1" applyAlignment="1" applyProtection="1">
      <protection locked="0"/>
    </xf>
    <xf numFmtId="166" fontId="6" fillId="0" borderId="0" xfId="0" applyFont="1" applyProtection="1"/>
    <xf numFmtId="166" fontId="7" fillId="0" borderId="0" xfId="0" applyFont="1" applyProtection="1"/>
    <xf numFmtId="1" fontId="6" fillId="4" borderId="11" xfId="0" applyNumberFormat="1" applyFont="1" applyFill="1" applyBorder="1" applyAlignment="1" applyProtection="1">
      <alignment horizontal="center"/>
      <protection locked="0"/>
    </xf>
    <xf numFmtId="166" fontId="4" fillId="2" borderId="25" xfId="0" applyFont="1" applyFill="1" applyBorder="1" applyProtection="1"/>
    <xf numFmtId="166" fontId="10" fillId="2" borderId="0" xfId="0" applyFont="1" applyFill="1" applyBorder="1" applyAlignment="1" applyProtection="1">
      <alignment horizontal="center"/>
    </xf>
    <xf numFmtId="166" fontId="6" fillId="2" borderId="0" xfId="0" applyFont="1" applyFill="1" applyBorder="1" applyAlignment="1" applyProtection="1"/>
    <xf numFmtId="166" fontId="6" fillId="2" borderId="0" xfId="0" applyFont="1" applyFill="1" applyBorder="1" applyProtection="1"/>
    <xf numFmtId="166" fontId="6" fillId="2" borderId="0" xfId="0" applyFont="1" applyFill="1" applyProtection="1"/>
    <xf numFmtId="166" fontId="5" fillId="0" borderId="26" xfId="0" applyFont="1" applyBorder="1" applyProtection="1"/>
    <xf numFmtId="166" fontId="6" fillId="0" borderId="0" xfId="0" applyFont="1" applyBorder="1" applyAlignment="1" applyProtection="1">
      <alignment horizontal="left" wrapText="1"/>
    </xf>
    <xf numFmtId="166" fontId="6" fillId="0" borderId="0" xfId="0" applyFont="1" applyBorder="1" applyProtection="1"/>
    <xf numFmtId="166" fontId="7" fillId="0" borderId="26" xfId="0" applyFont="1" applyBorder="1" applyProtection="1"/>
    <xf numFmtId="167" fontId="6" fillId="0" borderId="0" xfId="0" applyNumberFormat="1" applyFont="1" applyProtection="1"/>
    <xf numFmtId="166" fontId="6" fillId="4" borderId="27" xfId="0" applyFont="1" applyFill="1" applyBorder="1" applyAlignment="1" applyProtection="1">
      <alignment horizontal="left" indent="1"/>
      <protection locked="0"/>
    </xf>
    <xf numFmtId="166" fontId="6" fillId="4" borderId="28" xfId="0" applyFont="1" applyFill="1" applyBorder="1" applyAlignment="1" applyProtection="1">
      <alignment horizontal="left" wrapText="1" indent="1"/>
      <protection locked="0"/>
    </xf>
    <xf numFmtId="166" fontId="6" fillId="4" borderId="28" xfId="0" applyFont="1" applyFill="1" applyBorder="1" applyAlignment="1" applyProtection="1">
      <alignment horizontal="left" indent="1"/>
      <protection locked="0"/>
    </xf>
    <xf numFmtId="168" fontId="6" fillId="4" borderId="28" xfId="0" applyNumberFormat="1" applyFont="1" applyFill="1" applyBorder="1" applyAlignment="1" applyProtection="1">
      <alignment horizontal="left" indent="1"/>
      <protection locked="0"/>
    </xf>
    <xf numFmtId="8" fontId="6" fillId="2" borderId="0" xfId="0" quotePrefix="1" applyNumberFormat="1" applyFont="1" applyFill="1" applyAlignment="1">
      <alignment horizontal="right"/>
    </xf>
    <xf numFmtId="166" fontId="11" fillId="3" borderId="40" xfId="0" applyFont="1" applyFill="1" applyBorder="1"/>
    <xf numFmtId="166" fontId="11" fillId="3" borderId="44" xfId="0" applyFont="1" applyFill="1" applyBorder="1" applyAlignment="1">
      <alignment horizontal="center"/>
    </xf>
    <xf numFmtId="166" fontId="0" fillId="0" borderId="7" xfId="0" applyBorder="1"/>
    <xf numFmtId="164" fontId="0" fillId="0" borderId="7" xfId="0" applyNumberFormat="1" applyBorder="1" applyAlignment="1">
      <alignment horizontal="center"/>
    </xf>
    <xf numFmtId="166" fontId="1" fillId="0" borderId="7" xfId="0" applyFont="1" applyFill="1" applyBorder="1"/>
    <xf numFmtId="164" fontId="0" fillId="0" borderId="7" xfId="0" applyNumberFormat="1" applyFill="1" applyBorder="1" applyAlignment="1">
      <alignment horizontal="center"/>
    </xf>
    <xf numFmtId="166" fontId="6" fillId="0" borderId="15" xfId="0" applyFont="1" applyBorder="1" applyProtection="1"/>
    <xf numFmtId="166" fontId="6" fillId="0" borderId="0" xfId="0" applyFont="1" applyBorder="1" applyAlignment="1" applyProtection="1"/>
    <xf numFmtId="166" fontId="10" fillId="9" borderId="42" xfId="0" applyFont="1" applyFill="1" applyBorder="1" applyAlignment="1" applyProtection="1">
      <alignment horizontal="center" vertical="center" wrapText="1"/>
    </xf>
    <xf numFmtId="49" fontId="0" fillId="0" borderId="0" xfId="0" applyNumberFormat="1"/>
    <xf numFmtId="166" fontId="0" fillId="0" borderId="0" xfId="0" applyAlignment="1">
      <alignment horizontal="center" wrapText="1"/>
    </xf>
    <xf numFmtId="49" fontId="6" fillId="4" borderId="11" xfId="0" applyNumberFormat="1" applyFont="1" applyFill="1" applyBorder="1" applyAlignment="1" applyProtection="1">
      <alignment horizontal="left"/>
      <protection locked="0"/>
    </xf>
    <xf numFmtId="49" fontId="6" fillId="4" borderId="11" xfId="0" applyNumberFormat="1" applyFont="1" applyFill="1" applyBorder="1" applyAlignment="1" applyProtection="1">
      <alignment horizontal="center"/>
      <protection locked="0"/>
    </xf>
    <xf numFmtId="166" fontId="0" fillId="0" borderId="0" xfId="0" applyAlignment="1">
      <alignment horizontal="center"/>
    </xf>
    <xf numFmtId="49" fontId="0" fillId="0" borderId="0" xfId="0" applyNumberFormat="1" applyAlignment="1">
      <alignment horizontal="center"/>
    </xf>
    <xf numFmtId="166" fontId="18" fillId="0" borderId="0" xfId="0" applyFont="1" applyProtection="1">
      <protection locked="0" hidden="1"/>
    </xf>
    <xf numFmtId="2" fontId="18" fillId="0" borderId="0" xfId="0" applyNumberFormat="1" applyFont="1" applyProtection="1">
      <protection locked="0" hidden="1"/>
    </xf>
    <xf numFmtId="166" fontId="6" fillId="4" borderId="20" xfId="0" applyFont="1" applyFill="1" applyBorder="1" applyAlignment="1" applyProtection="1">
      <alignment horizontal="left" indent="1"/>
      <protection locked="0"/>
    </xf>
    <xf numFmtId="14" fontId="12" fillId="0" borderId="0" xfId="0" applyNumberFormat="1" applyFont="1" applyFill="1" applyBorder="1" applyAlignment="1" applyProtection="1">
      <alignment horizontal="center"/>
    </xf>
    <xf numFmtId="172" fontId="6" fillId="4" borderId="11" xfId="0" applyNumberFormat="1" applyFont="1" applyFill="1" applyBorder="1" applyAlignment="1" applyProtection="1">
      <alignment horizontal="center"/>
      <protection locked="0"/>
    </xf>
    <xf numFmtId="172" fontId="0" fillId="0" borderId="0" xfId="0" applyNumberFormat="1" applyAlignment="1">
      <alignment horizontal="center" wrapText="1"/>
    </xf>
    <xf numFmtId="166" fontId="10" fillId="3" borderId="62" xfId="0" applyFont="1" applyFill="1" applyBorder="1" applyAlignment="1" applyProtection="1">
      <alignment vertical="center" wrapText="1"/>
    </xf>
    <xf numFmtId="166" fontId="10" fillId="3" borderId="20" xfId="0" applyFont="1" applyFill="1" applyBorder="1" applyAlignment="1" applyProtection="1">
      <alignment vertical="center" wrapText="1"/>
    </xf>
    <xf numFmtId="0" fontId="18" fillId="0" borderId="0" xfId="0" applyNumberFormat="1" applyFont="1" applyProtection="1"/>
    <xf numFmtId="170" fontId="7" fillId="4" borderId="19" xfId="0" applyNumberFormat="1" applyFont="1" applyFill="1" applyBorder="1" applyAlignment="1" applyProtection="1">
      <alignment horizontal="left" indent="1"/>
      <protection locked="0"/>
    </xf>
    <xf numFmtId="14" fontId="33" fillId="0" borderId="0" xfId="0" applyNumberFormat="1" applyFont="1" applyFill="1" applyBorder="1" applyAlignment="1" applyProtection="1"/>
    <xf numFmtId="166" fontId="10" fillId="3" borderId="68" xfId="0" applyFont="1" applyFill="1" applyBorder="1" applyAlignment="1" applyProtection="1"/>
    <xf numFmtId="166" fontId="10" fillId="3" borderId="69" xfId="0" applyFont="1" applyFill="1" applyBorder="1" applyAlignment="1" applyProtection="1"/>
    <xf numFmtId="0" fontId="6" fillId="4" borderId="69" xfId="0" applyNumberFormat="1" applyFont="1" applyFill="1" applyBorder="1" applyAlignment="1" applyProtection="1">
      <alignment horizontal="left" indent="1"/>
      <protection locked="0"/>
    </xf>
    <xf numFmtId="166" fontId="0" fillId="13" borderId="0" xfId="0" applyFill="1"/>
    <xf numFmtId="166" fontId="1" fillId="13" borderId="0" xfId="0" applyFont="1" applyFill="1"/>
    <xf numFmtId="0" fontId="6" fillId="4" borderId="70" xfId="0" applyNumberFormat="1" applyFont="1" applyFill="1" applyBorder="1" applyAlignment="1" applyProtection="1">
      <alignment horizontal="left" indent="1"/>
      <protection locked="0"/>
    </xf>
    <xf numFmtId="166" fontId="6" fillId="4" borderId="21" xfId="0" applyFont="1" applyFill="1" applyBorder="1" applyAlignment="1" applyProtection="1">
      <alignment horizontal="left" indent="1"/>
      <protection locked="0"/>
    </xf>
    <xf numFmtId="166" fontId="18" fillId="0" borderId="0" xfId="0" applyFont="1" applyProtection="1"/>
    <xf numFmtId="166" fontId="10" fillId="3" borderId="76" xfId="0" applyFont="1" applyFill="1" applyBorder="1" applyAlignment="1" applyProtection="1"/>
    <xf numFmtId="166" fontId="37" fillId="13" borderId="0" xfId="0" applyFont="1" applyFill="1"/>
    <xf numFmtId="166" fontId="38" fillId="13" borderId="0" xfId="0" applyFont="1" applyFill="1"/>
    <xf numFmtId="2" fontId="37" fillId="13" borderId="0" xfId="0" applyNumberFormat="1" applyFont="1" applyFill="1"/>
    <xf numFmtId="49" fontId="37" fillId="13" borderId="0" xfId="0" applyNumberFormat="1" applyFont="1" applyFill="1" applyAlignment="1"/>
    <xf numFmtId="171" fontId="37" fillId="13" borderId="0" xfId="0" applyNumberFormat="1" applyFont="1" applyFill="1"/>
    <xf numFmtId="166" fontId="6" fillId="0" borderId="0" xfId="0" applyFont="1" applyProtection="1">
      <protection locked="0" hidden="1"/>
    </xf>
    <xf numFmtId="2" fontId="6" fillId="0" borderId="0" xfId="0" applyNumberFormat="1" applyFont="1" applyProtection="1">
      <protection locked="0" hidden="1"/>
    </xf>
    <xf numFmtId="166" fontId="6" fillId="0" borderId="0" xfId="0" applyFont="1" applyProtection="1">
      <protection hidden="1"/>
    </xf>
    <xf numFmtId="2" fontId="18" fillId="0" borderId="0" xfId="0" applyNumberFormat="1" applyFont="1" applyProtection="1">
      <protection hidden="1"/>
    </xf>
    <xf numFmtId="39" fontId="6" fillId="4" borderId="61" xfId="1" applyNumberFormat="1" applyFont="1" applyFill="1" applyBorder="1" applyProtection="1">
      <protection locked="0" hidden="1"/>
    </xf>
    <xf numFmtId="10" fontId="5" fillId="5" borderId="29" xfId="2" applyNumberFormat="1" applyFont="1" applyFill="1" applyBorder="1" applyAlignment="1" applyProtection="1">
      <alignment horizontal="center" vertical="center"/>
      <protection hidden="1"/>
    </xf>
    <xf numFmtId="44" fontId="6" fillId="0" borderId="0" xfId="1" applyFont="1" applyProtection="1">
      <protection hidden="1"/>
    </xf>
    <xf numFmtId="9" fontId="5" fillId="5" borderId="29" xfId="2" applyNumberFormat="1" applyFont="1" applyFill="1" applyBorder="1" applyAlignment="1" applyProtection="1">
      <alignment horizontal="center" vertical="center"/>
      <protection hidden="1"/>
    </xf>
    <xf numFmtId="44" fontId="6" fillId="0" borderId="0" xfId="1" applyFont="1" applyProtection="1">
      <protection locked="0" hidden="1"/>
    </xf>
    <xf numFmtId="39" fontId="6" fillId="4" borderId="33" xfId="1" applyNumberFormat="1" applyFont="1" applyFill="1" applyBorder="1" applyProtection="1">
      <protection locked="0" hidden="1"/>
    </xf>
    <xf numFmtId="166" fontId="18" fillId="13" borderId="0" xfId="0" applyFont="1" applyFill="1" applyBorder="1" applyProtection="1">
      <protection hidden="1"/>
    </xf>
    <xf numFmtId="0" fontId="18" fillId="13" borderId="0" xfId="0" applyNumberFormat="1" applyFont="1" applyFill="1" applyProtection="1">
      <protection locked="0" hidden="1"/>
    </xf>
    <xf numFmtId="0" fontId="18" fillId="13" borderId="0" xfId="1" applyNumberFormat="1" applyFont="1" applyFill="1" applyProtection="1">
      <protection locked="0" hidden="1"/>
    </xf>
    <xf numFmtId="0" fontId="18" fillId="0" borderId="0" xfId="0" applyNumberFormat="1" applyFont="1" applyProtection="1">
      <protection locked="0" hidden="1"/>
    </xf>
    <xf numFmtId="39" fontId="6" fillId="5" borderId="17" xfId="1" applyNumberFormat="1" applyFont="1" applyFill="1" applyBorder="1" applyProtection="1">
      <protection hidden="1"/>
    </xf>
    <xf numFmtId="166" fontId="6" fillId="13" borderId="0" xfId="0" applyFont="1" applyFill="1" applyProtection="1">
      <protection hidden="1"/>
    </xf>
    <xf numFmtId="166" fontId="11" fillId="13" borderId="0" xfId="0" applyFont="1" applyFill="1" applyBorder="1" applyAlignment="1" applyProtection="1">
      <alignment horizontal="center"/>
      <protection hidden="1"/>
    </xf>
    <xf numFmtId="0" fontId="27" fillId="13" borderId="0" xfId="0" applyNumberFormat="1" applyFont="1" applyFill="1" applyBorder="1" applyAlignment="1" applyProtection="1">
      <alignment horizontal="center"/>
      <protection hidden="1"/>
    </xf>
    <xf numFmtId="0" fontId="31" fillId="13" borderId="0" xfId="2" applyNumberFormat="1" applyFont="1" applyFill="1" applyBorder="1" applyAlignment="1" applyProtection="1">
      <alignment horizontal="center"/>
      <protection hidden="1"/>
    </xf>
    <xf numFmtId="0" fontId="18" fillId="13" borderId="0" xfId="0" applyNumberFormat="1" applyFont="1" applyFill="1" applyProtection="1">
      <protection hidden="1"/>
    </xf>
    <xf numFmtId="39" fontId="6" fillId="5" borderId="62" xfId="1" applyNumberFormat="1" applyFont="1" applyFill="1" applyBorder="1" applyProtection="1">
      <protection hidden="1"/>
    </xf>
    <xf numFmtId="39" fontId="6" fillId="5" borderId="21" xfId="1" applyNumberFormat="1" applyFont="1" applyFill="1" applyBorder="1" applyProtection="1">
      <protection hidden="1"/>
    </xf>
    <xf numFmtId="2" fontId="11" fillId="2" borderId="0" xfId="0" applyNumberFormat="1" applyFont="1" applyFill="1" applyBorder="1" applyAlignment="1" applyProtection="1">
      <alignment horizontal="center"/>
      <protection hidden="1"/>
    </xf>
    <xf numFmtId="166" fontId="26" fillId="0" borderId="0" xfId="0" applyFont="1" applyAlignment="1" applyProtection="1">
      <alignment horizontal="right"/>
      <protection hidden="1"/>
    </xf>
    <xf numFmtId="43" fontId="22" fillId="0" borderId="0" xfId="1" applyNumberFormat="1" applyFont="1" applyAlignment="1" applyProtection="1">
      <alignment horizontal="right"/>
      <protection hidden="1"/>
    </xf>
    <xf numFmtId="166" fontId="11" fillId="2" borderId="0" xfId="0" applyFont="1" applyFill="1" applyBorder="1" applyAlignment="1" applyProtection="1">
      <alignment horizontal="center"/>
      <protection hidden="1"/>
    </xf>
    <xf numFmtId="169" fontId="6" fillId="8" borderId="7" xfId="0" applyNumberFormat="1" applyFont="1" applyFill="1" applyBorder="1" applyAlignment="1" applyProtection="1">
      <alignment horizontal="center"/>
      <protection hidden="1"/>
    </xf>
    <xf numFmtId="166" fontId="7" fillId="0" borderId="0" xfId="0" applyFont="1" applyProtection="1">
      <protection hidden="1"/>
    </xf>
    <xf numFmtId="166" fontId="6" fillId="4" borderId="10" xfId="0" applyFont="1" applyFill="1" applyBorder="1" applyAlignment="1" applyProtection="1">
      <alignment horizontal="left"/>
      <protection locked="0" hidden="1"/>
    </xf>
    <xf numFmtId="166" fontId="6" fillId="4" borderId="49" xfId="0" applyFont="1" applyFill="1" applyBorder="1" applyAlignment="1" applyProtection="1">
      <alignment horizontal="left"/>
      <protection locked="0" hidden="1"/>
    </xf>
    <xf numFmtId="49" fontId="6" fillId="4" borderId="11" xfId="0" applyNumberFormat="1" applyFont="1" applyFill="1" applyBorder="1" applyAlignment="1" applyProtection="1">
      <alignment horizontal="left"/>
      <protection locked="0" hidden="1"/>
    </xf>
    <xf numFmtId="166" fontId="6" fillId="5" borderId="11" xfId="0" applyFont="1" applyFill="1" applyBorder="1" applyAlignment="1" applyProtection="1">
      <alignment horizontal="left"/>
      <protection hidden="1"/>
    </xf>
    <xf numFmtId="43" fontId="6" fillId="5" borderId="11" xfId="0" applyNumberFormat="1" applyFont="1" applyFill="1" applyBorder="1" applyAlignment="1" applyProtection="1">
      <alignment horizontal="center"/>
      <protection hidden="1"/>
    </xf>
    <xf numFmtId="172" fontId="6" fillId="5" borderId="11" xfId="0" applyNumberFormat="1" applyFont="1" applyFill="1" applyBorder="1" applyAlignment="1" applyProtection="1">
      <alignment horizontal="center"/>
      <protection hidden="1"/>
    </xf>
    <xf numFmtId="172" fontId="6" fillId="4" borderId="11" xfId="0" applyNumberFormat="1" applyFont="1" applyFill="1" applyBorder="1" applyAlignment="1" applyProtection="1">
      <alignment horizontal="center"/>
      <protection locked="0" hidden="1"/>
    </xf>
    <xf numFmtId="49" fontId="6" fillId="4" borderId="10" xfId="0" applyNumberFormat="1" applyFont="1" applyFill="1" applyBorder="1" applyAlignment="1" applyProtection="1">
      <alignment horizontal="left"/>
      <protection locked="0" hidden="1"/>
    </xf>
    <xf numFmtId="49" fontId="6" fillId="4" borderId="1" xfId="0" applyNumberFormat="1" applyFont="1" applyFill="1" applyBorder="1" applyAlignment="1" applyProtection="1">
      <alignment horizontal="left"/>
      <protection locked="0" hidden="1"/>
    </xf>
    <xf numFmtId="49" fontId="6" fillId="4" borderId="7" xfId="0" applyNumberFormat="1" applyFont="1" applyFill="1" applyBorder="1" applyAlignment="1" applyProtection="1">
      <alignment horizontal="left"/>
      <protection locked="0" hidden="1"/>
    </xf>
    <xf numFmtId="43" fontId="6" fillId="5" borderId="7" xfId="0" applyNumberFormat="1" applyFont="1" applyFill="1" applyBorder="1" applyAlignment="1" applyProtection="1">
      <alignment horizontal="center"/>
      <protection hidden="1"/>
    </xf>
    <xf numFmtId="172" fontId="6" fillId="5" borderId="7" xfId="0" applyNumberFormat="1" applyFont="1" applyFill="1" applyBorder="1" applyAlignment="1" applyProtection="1">
      <alignment horizontal="center"/>
      <protection hidden="1"/>
    </xf>
    <xf numFmtId="2" fontId="17" fillId="11" borderId="0" xfId="0" applyNumberFormat="1" applyFont="1" applyFill="1" applyBorder="1" applyAlignment="1" applyProtection="1">
      <alignment horizontal="center" wrapText="1"/>
      <protection hidden="1"/>
    </xf>
    <xf numFmtId="44" fontId="6" fillId="5" borderId="11" xfId="1" applyFont="1" applyFill="1" applyBorder="1" applyAlignment="1" applyProtection="1">
      <alignment horizontal="center"/>
      <protection hidden="1"/>
    </xf>
    <xf numFmtId="166" fontId="6" fillId="6" borderId="24" xfId="0" applyFont="1" applyFill="1" applyBorder="1" applyProtection="1">
      <protection hidden="1"/>
    </xf>
    <xf numFmtId="166" fontId="6" fillId="6" borderId="0" xfId="0" applyFont="1" applyFill="1" applyBorder="1" applyProtection="1">
      <protection hidden="1"/>
    </xf>
    <xf numFmtId="2" fontId="18" fillId="6" borderId="0" xfId="0" applyNumberFormat="1" applyFont="1" applyFill="1" applyBorder="1" applyProtection="1">
      <protection hidden="1"/>
    </xf>
    <xf numFmtId="166" fontId="6" fillId="6" borderId="0" xfId="0" applyFont="1" applyFill="1" applyBorder="1" applyAlignment="1" applyProtection="1">
      <alignment horizontal="center"/>
      <protection hidden="1"/>
    </xf>
    <xf numFmtId="166" fontId="6" fillId="6" borderId="15" xfId="0" applyFont="1" applyFill="1" applyBorder="1" applyAlignment="1" applyProtection="1">
      <alignment horizontal="center"/>
      <protection hidden="1"/>
    </xf>
    <xf numFmtId="2" fontId="6" fillId="6" borderId="0" xfId="0" applyNumberFormat="1" applyFont="1" applyFill="1" applyBorder="1" applyProtection="1">
      <protection hidden="1"/>
    </xf>
    <xf numFmtId="49" fontId="6" fillId="4" borderId="10" xfId="1" applyNumberFormat="1" applyFont="1" applyFill="1" applyBorder="1" applyAlignment="1" applyProtection="1">
      <alignment horizontal="left"/>
      <protection locked="0" hidden="1"/>
    </xf>
    <xf numFmtId="49" fontId="14" fillId="4" borderId="11" xfId="0" applyNumberFormat="1" applyFont="1" applyFill="1" applyBorder="1" applyAlignment="1" applyProtection="1">
      <alignment horizontal="left"/>
      <protection locked="0" hidden="1"/>
    </xf>
    <xf numFmtId="166" fontId="14" fillId="5" borderId="11" xfId="0" applyFont="1" applyFill="1" applyBorder="1" applyAlignment="1" applyProtection="1">
      <alignment horizontal="left"/>
      <protection hidden="1"/>
    </xf>
    <xf numFmtId="3" fontId="6" fillId="11" borderId="11" xfId="0" applyNumberFormat="1" applyFont="1" applyFill="1" applyBorder="1" applyAlignment="1" applyProtection="1">
      <alignment horizontal="center"/>
      <protection hidden="1"/>
    </xf>
    <xf numFmtId="43" fontId="6" fillId="11" borderId="11" xfId="0" applyNumberFormat="1" applyFont="1" applyFill="1" applyBorder="1" applyAlignment="1" applyProtection="1">
      <alignment horizontal="center"/>
      <protection hidden="1"/>
    </xf>
    <xf numFmtId="166" fontId="6" fillId="6" borderId="0" xfId="0" applyFont="1" applyFill="1" applyProtection="1">
      <protection hidden="1"/>
    </xf>
    <xf numFmtId="2" fontId="6" fillId="6" borderId="0" xfId="0" applyNumberFormat="1" applyFont="1" applyFill="1" applyProtection="1">
      <protection hidden="1"/>
    </xf>
    <xf numFmtId="164" fontId="7" fillId="5" borderId="5" xfId="0" applyNumberFormat="1" applyFont="1" applyFill="1" applyBorder="1" applyAlignment="1" applyProtection="1">
      <alignment horizontal="center"/>
      <protection hidden="1"/>
    </xf>
    <xf numFmtId="43" fontId="6" fillId="5" borderId="39" xfId="0" applyNumberFormat="1" applyFont="1" applyFill="1" applyBorder="1" applyAlignment="1" applyProtection="1">
      <alignment horizontal="center"/>
      <protection hidden="1"/>
    </xf>
    <xf numFmtId="172" fontId="6" fillId="5" borderId="6" xfId="0" applyNumberFormat="1" applyFont="1" applyFill="1" applyBorder="1" applyAlignment="1" applyProtection="1">
      <alignment horizontal="center"/>
      <protection hidden="1"/>
    </xf>
    <xf numFmtId="2" fontId="6" fillId="4" borderId="11" xfId="0" applyNumberFormat="1" applyFont="1" applyFill="1" applyBorder="1" applyAlignment="1" applyProtection="1">
      <alignment horizontal="center"/>
      <protection locked="0" hidden="1"/>
    </xf>
    <xf numFmtId="4" fontId="6" fillId="4" borderId="11" xfId="0" applyNumberFormat="1" applyFont="1" applyFill="1" applyBorder="1" applyAlignment="1" applyProtection="1">
      <alignment horizontal="center"/>
      <protection locked="0" hidden="1"/>
    </xf>
    <xf numFmtId="10" fontId="6" fillId="5" borderId="7" xfId="2" applyNumberFormat="1" applyFont="1" applyFill="1" applyBorder="1" applyAlignment="1" applyProtection="1">
      <alignment horizontal="center"/>
      <protection hidden="1"/>
    </xf>
    <xf numFmtId="1" fontId="6" fillId="5" borderId="11" xfId="0" applyNumberFormat="1" applyFont="1" applyFill="1" applyBorder="1" applyAlignment="1" applyProtection="1">
      <alignment horizontal="center"/>
      <protection hidden="1"/>
    </xf>
    <xf numFmtId="1" fontId="6" fillId="4" borderId="11" xfId="0" applyNumberFormat="1" applyFont="1" applyFill="1" applyBorder="1" applyAlignment="1" applyProtection="1">
      <alignment horizontal="center"/>
      <protection locked="0" hidden="1"/>
    </xf>
    <xf numFmtId="2" fontId="6" fillId="4" borderId="7" xfId="0" applyNumberFormat="1" applyFont="1" applyFill="1" applyBorder="1" applyAlignment="1" applyProtection="1">
      <alignment horizontal="center"/>
      <protection locked="0" hidden="1"/>
    </xf>
    <xf numFmtId="4" fontId="6" fillId="4" borderId="7" xfId="0" applyNumberFormat="1" applyFont="1" applyFill="1" applyBorder="1" applyAlignment="1" applyProtection="1">
      <alignment horizontal="center"/>
      <protection locked="0" hidden="1"/>
    </xf>
    <xf numFmtId="49" fontId="6" fillId="4" borderId="3" xfId="0" applyNumberFormat="1" applyFont="1" applyFill="1" applyBorder="1" applyAlignment="1" applyProtection="1">
      <alignment horizontal="left"/>
      <protection locked="0" hidden="1"/>
    </xf>
    <xf numFmtId="166" fontId="6" fillId="4" borderId="9" xfId="0" applyFont="1" applyFill="1" applyBorder="1" applyAlignment="1" applyProtection="1">
      <alignment horizontal="left"/>
      <protection locked="0" hidden="1"/>
    </xf>
    <xf numFmtId="10" fontId="6" fillId="5" borderId="60" xfId="2" applyNumberFormat="1" applyFont="1" applyFill="1" applyBorder="1" applyAlignment="1" applyProtection="1">
      <alignment horizontal="center"/>
      <protection hidden="1"/>
    </xf>
    <xf numFmtId="43" fontId="6" fillId="5" borderId="46" xfId="0" applyNumberFormat="1" applyFont="1" applyFill="1" applyBorder="1" applyAlignment="1" applyProtection="1">
      <alignment horizontal="center"/>
      <protection hidden="1"/>
    </xf>
    <xf numFmtId="1" fontId="6" fillId="5" borderId="6" xfId="0" applyNumberFormat="1" applyFont="1" applyFill="1" applyBorder="1" applyAlignment="1" applyProtection="1">
      <alignment horizontal="center"/>
      <protection hidden="1"/>
    </xf>
    <xf numFmtId="2" fontId="6" fillId="0" borderId="0" xfId="0" applyNumberFormat="1" applyFont="1" applyProtection="1">
      <protection hidden="1"/>
    </xf>
    <xf numFmtId="164" fontId="7" fillId="5" borderId="8" xfId="0" applyNumberFormat="1" applyFont="1" applyFill="1" applyBorder="1" applyAlignment="1" applyProtection="1">
      <alignment horizontal="right"/>
      <protection hidden="1"/>
    </xf>
    <xf numFmtId="43" fontId="7" fillId="11" borderId="8" xfId="0" applyNumberFormat="1" applyFont="1" applyFill="1" applyBorder="1" applyAlignment="1" applyProtection="1">
      <alignment horizontal="right"/>
      <protection hidden="1"/>
    </xf>
    <xf numFmtId="43" fontId="7" fillId="5" borderId="8" xfId="0" applyNumberFormat="1" applyFont="1" applyFill="1" applyBorder="1" applyAlignment="1" applyProtection="1">
      <alignment horizontal="right"/>
      <protection hidden="1"/>
    </xf>
    <xf numFmtId="173" fontId="7" fillId="5" borderId="8" xfId="0" applyNumberFormat="1" applyFont="1" applyFill="1" applyBorder="1" applyAlignment="1" applyProtection="1">
      <alignment horizontal="center"/>
      <protection hidden="1"/>
    </xf>
    <xf numFmtId="164" fontId="6" fillId="0" borderId="0" xfId="0" applyNumberFormat="1" applyFont="1" applyProtection="1">
      <protection hidden="1"/>
    </xf>
    <xf numFmtId="43" fontId="6" fillId="8" borderId="7" xfId="1" applyNumberFormat="1" applyFont="1" applyFill="1" applyBorder="1" applyProtection="1">
      <protection hidden="1"/>
    </xf>
    <xf numFmtId="166" fontId="20" fillId="0" borderId="0" xfId="0" applyFont="1" applyProtection="1">
      <protection hidden="1"/>
    </xf>
    <xf numFmtId="10" fontId="5" fillId="5" borderId="29" xfId="2" applyNumberFormat="1" applyFont="1" applyFill="1" applyBorder="1" applyAlignment="1" applyProtection="1">
      <alignment horizontal="center"/>
      <protection hidden="1"/>
    </xf>
    <xf numFmtId="9" fontId="5" fillId="5" borderId="29" xfId="2" applyNumberFormat="1" applyFont="1" applyFill="1" applyBorder="1" applyAlignment="1" applyProtection="1">
      <alignment horizontal="center"/>
      <protection hidden="1"/>
    </xf>
    <xf numFmtId="166" fontId="28" fillId="13" borderId="0" xfId="0" applyFont="1" applyFill="1" applyBorder="1" applyAlignment="1" applyProtection="1">
      <alignment horizontal="center"/>
      <protection locked="0" hidden="1"/>
    </xf>
    <xf numFmtId="2" fontId="20" fillId="0" borderId="0" xfId="0" applyNumberFormat="1" applyFont="1" applyProtection="1">
      <protection hidden="1"/>
    </xf>
    <xf numFmtId="166" fontId="21" fillId="0" borderId="0" xfId="0" applyFont="1" applyProtection="1">
      <protection hidden="1"/>
    </xf>
    <xf numFmtId="43" fontId="5" fillId="5" borderId="29" xfId="1" applyNumberFormat="1" applyFont="1" applyFill="1" applyBorder="1" applyAlignment="1" applyProtection="1">
      <alignment horizontal="center"/>
      <protection hidden="1"/>
    </xf>
    <xf numFmtId="49" fontId="18" fillId="13" borderId="0" xfId="0" applyNumberFormat="1" applyFont="1" applyFill="1" applyBorder="1" applyProtection="1">
      <protection hidden="1"/>
    </xf>
    <xf numFmtId="166" fontId="11" fillId="0" borderId="0" xfId="0" applyFont="1" applyFill="1" applyBorder="1" applyAlignment="1" applyProtection="1">
      <alignment horizontal="center"/>
      <protection hidden="1"/>
    </xf>
    <xf numFmtId="43" fontId="5" fillId="0" borderId="0" xfId="1" applyNumberFormat="1" applyFont="1" applyFill="1" applyBorder="1" applyAlignment="1" applyProtection="1">
      <alignment horizontal="center"/>
      <protection hidden="1"/>
    </xf>
    <xf numFmtId="49" fontId="6" fillId="4" borderId="10" xfId="0" applyNumberFormat="1" applyFont="1" applyFill="1" applyBorder="1" applyAlignment="1" applyProtection="1">
      <alignment horizontal="center"/>
      <protection locked="0" hidden="1"/>
    </xf>
    <xf numFmtId="49" fontId="6" fillId="4" borderId="49" xfId="0" applyNumberFormat="1" applyFont="1" applyFill="1" applyBorder="1" applyAlignment="1" applyProtection="1">
      <alignment horizontal="left" wrapText="1"/>
      <protection locked="0" hidden="1"/>
    </xf>
    <xf numFmtId="2" fontId="19" fillId="11" borderId="11" xfId="0" applyNumberFormat="1" applyFont="1" applyFill="1" applyBorder="1" applyAlignment="1" applyProtection="1">
      <alignment horizontal="center"/>
      <protection hidden="1"/>
    </xf>
    <xf numFmtId="43" fontId="6" fillId="4" borderId="11" xfId="0" applyNumberFormat="1" applyFont="1" applyFill="1" applyBorder="1" applyAlignment="1" applyProtection="1">
      <alignment horizontal="center"/>
      <protection locked="0" hidden="1"/>
    </xf>
    <xf numFmtId="43" fontId="6" fillId="5" borderId="11" xfId="0" applyNumberFormat="1" applyFont="1" applyFill="1" applyBorder="1" applyAlignment="1" applyProtection="1">
      <alignment horizontal="right"/>
      <protection hidden="1"/>
    </xf>
    <xf numFmtId="43" fontId="6" fillId="4" borderId="7" xfId="0" applyNumberFormat="1" applyFont="1" applyFill="1" applyBorder="1" applyAlignment="1" applyProtection="1">
      <alignment horizontal="center"/>
      <protection locked="0" hidden="1"/>
    </xf>
    <xf numFmtId="49" fontId="6" fillId="4" borderId="49" xfId="0" applyNumberFormat="1" applyFont="1" applyFill="1" applyBorder="1" applyAlignment="1" applyProtection="1">
      <alignment horizontal="left"/>
      <protection locked="0" hidden="1"/>
    </xf>
    <xf numFmtId="164" fontId="6" fillId="5" borderId="43" xfId="0" applyNumberFormat="1" applyFont="1" applyFill="1" applyBorder="1" applyAlignment="1" applyProtection="1">
      <alignment horizontal="center"/>
      <protection hidden="1"/>
    </xf>
    <xf numFmtId="43" fontId="6" fillId="5" borderId="43" xfId="0" applyNumberFormat="1" applyFont="1" applyFill="1" applyBorder="1" applyAlignment="1" applyProtection="1">
      <alignment horizontal="right"/>
      <protection hidden="1"/>
    </xf>
    <xf numFmtId="172" fontId="6" fillId="5" borderId="43" xfId="0" applyNumberFormat="1" applyFont="1" applyFill="1" applyBorder="1" applyAlignment="1" applyProtection="1">
      <alignment horizontal="center"/>
      <protection hidden="1"/>
    </xf>
    <xf numFmtId="166" fontId="6" fillId="6" borderId="0" xfId="0" applyFont="1" applyFill="1" applyAlignment="1" applyProtection="1">
      <alignment horizontal="center"/>
      <protection hidden="1"/>
    </xf>
    <xf numFmtId="166" fontId="6" fillId="6" borderId="67" xfId="0" applyFont="1" applyFill="1" applyBorder="1" applyProtection="1">
      <protection hidden="1"/>
    </xf>
    <xf numFmtId="166" fontId="6" fillId="13" borderId="0" xfId="0" applyFont="1" applyFill="1" applyBorder="1" applyProtection="1">
      <protection hidden="1"/>
    </xf>
    <xf numFmtId="166" fontId="6" fillId="6" borderId="66" xfId="0" applyFont="1" applyFill="1" applyBorder="1" applyAlignment="1" applyProtection="1">
      <alignment horizontal="center"/>
      <protection hidden="1"/>
    </xf>
    <xf numFmtId="166" fontId="6" fillId="13" borderId="0" xfId="0" applyFont="1" applyFill="1" applyBorder="1" applyAlignment="1" applyProtection="1">
      <alignment horizontal="center"/>
      <protection hidden="1"/>
    </xf>
    <xf numFmtId="166" fontId="7" fillId="13" borderId="0" xfId="0" applyFont="1" applyFill="1" applyBorder="1" applyProtection="1">
      <protection hidden="1"/>
    </xf>
    <xf numFmtId="2" fontId="19" fillId="12" borderId="0" xfId="0" applyNumberFormat="1" applyFont="1" applyFill="1" applyBorder="1" applyAlignment="1" applyProtection="1">
      <alignment horizontal="center" wrapText="1"/>
      <protection hidden="1"/>
    </xf>
    <xf numFmtId="43" fontId="6" fillId="5" borderId="11" xfId="0" applyNumberFormat="1" applyFont="1" applyFill="1" applyBorder="1" applyAlignment="1" applyProtection="1">
      <alignment horizontal="left"/>
      <protection hidden="1"/>
    </xf>
    <xf numFmtId="1" fontId="6" fillId="13" borderId="0" xfId="0" applyNumberFormat="1" applyFont="1" applyFill="1" applyBorder="1" applyAlignment="1" applyProtection="1">
      <alignment horizontal="center"/>
      <protection locked="0" hidden="1"/>
    </xf>
    <xf numFmtId="166" fontId="6" fillId="13" borderId="0" xfId="0" applyFont="1" applyFill="1" applyBorder="1" applyProtection="1">
      <protection locked="0" hidden="1"/>
    </xf>
    <xf numFmtId="166" fontId="6" fillId="6" borderId="66" xfId="0" applyFont="1" applyFill="1" applyBorder="1" applyProtection="1">
      <protection hidden="1"/>
    </xf>
    <xf numFmtId="164" fontId="6" fillId="6" borderId="0" xfId="0" applyNumberFormat="1" applyFont="1" applyFill="1" applyProtection="1">
      <protection hidden="1"/>
    </xf>
    <xf numFmtId="166" fontId="6" fillId="6" borderId="56" xfId="0" applyFont="1" applyFill="1" applyBorder="1" applyProtection="1">
      <protection hidden="1"/>
    </xf>
    <xf numFmtId="49" fontId="6" fillId="4" borderId="48" xfId="0" applyNumberFormat="1" applyFont="1" applyFill="1" applyBorder="1" applyAlignment="1" applyProtection="1">
      <alignment horizontal="left"/>
      <protection locked="0" hidden="1"/>
    </xf>
    <xf numFmtId="2" fontId="7" fillId="10" borderId="0" xfId="0" applyNumberFormat="1" applyFont="1" applyFill="1" applyBorder="1" applyAlignment="1" applyProtection="1">
      <alignment horizontal="left"/>
      <protection hidden="1"/>
    </xf>
    <xf numFmtId="166" fontId="7" fillId="7" borderId="0" xfId="0" applyFont="1" applyFill="1" applyBorder="1" applyAlignment="1" applyProtection="1">
      <alignment horizontal="left"/>
      <protection hidden="1"/>
    </xf>
    <xf numFmtId="43" fontId="6" fillId="5" borderId="7" xfId="0" applyNumberFormat="1" applyFont="1" applyFill="1" applyBorder="1" applyAlignment="1" applyProtection="1">
      <alignment horizontal="right"/>
      <protection hidden="1"/>
    </xf>
    <xf numFmtId="10" fontId="6" fillId="5" borderId="9" xfId="2" applyNumberFormat="1" applyFont="1" applyFill="1" applyBorder="1" applyAlignment="1" applyProtection="1">
      <alignment horizontal="center"/>
      <protection hidden="1"/>
    </xf>
    <xf numFmtId="43" fontId="6" fillId="5" borderId="9" xfId="0" applyNumberFormat="1" applyFont="1" applyFill="1" applyBorder="1" applyAlignment="1" applyProtection="1">
      <alignment horizontal="right"/>
      <protection hidden="1"/>
    </xf>
    <xf numFmtId="166" fontId="7" fillId="7" borderId="18" xfId="0" applyFont="1" applyFill="1" applyBorder="1" applyAlignment="1" applyProtection="1">
      <alignment horizontal="left"/>
      <protection hidden="1"/>
    </xf>
    <xf numFmtId="165" fontId="6" fillId="6" borderId="0" xfId="0" applyNumberFormat="1" applyFont="1" applyFill="1" applyProtection="1">
      <protection hidden="1"/>
    </xf>
    <xf numFmtId="10" fontId="6" fillId="5" borderId="11" xfId="2" applyNumberFormat="1" applyFont="1" applyFill="1" applyBorder="1" applyAlignment="1" applyProtection="1">
      <alignment horizontal="center"/>
      <protection hidden="1"/>
    </xf>
    <xf numFmtId="41" fontId="6" fillId="5" borderId="43" xfId="0" applyNumberFormat="1" applyFont="1" applyFill="1" applyBorder="1" applyAlignment="1" applyProtection="1">
      <alignment horizontal="right"/>
      <protection hidden="1"/>
    </xf>
    <xf numFmtId="3" fontId="6" fillId="5" borderId="43" xfId="0" applyNumberFormat="1" applyFont="1" applyFill="1" applyBorder="1" applyAlignment="1" applyProtection="1">
      <alignment horizontal="center"/>
      <protection hidden="1"/>
    </xf>
    <xf numFmtId="4" fontId="7" fillId="5" borderId="8" xfId="0" applyNumberFormat="1" applyFont="1" applyFill="1" applyBorder="1" applyAlignment="1" applyProtection="1">
      <alignment horizontal="right"/>
      <protection hidden="1"/>
    </xf>
    <xf numFmtId="172" fontId="6" fillId="5" borderId="8" xfId="0" applyNumberFormat="1" applyFont="1" applyFill="1" applyBorder="1" applyAlignment="1" applyProtection="1">
      <alignment horizontal="center"/>
      <protection hidden="1"/>
    </xf>
    <xf numFmtId="172" fontId="7" fillId="5" borderId="8" xfId="0" applyNumberFormat="1" applyFont="1" applyFill="1" applyBorder="1" applyAlignment="1" applyProtection="1">
      <alignment horizontal="center"/>
      <protection hidden="1"/>
    </xf>
    <xf numFmtId="164" fontId="6" fillId="0" borderId="0" xfId="0" applyNumberFormat="1" applyFont="1" applyProtection="1">
      <protection locked="0" hidden="1"/>
    </xf>
    <xf numFmtId="10" fontId="6" fillId="0" borderId="0" xfId="2" applyNumberFormat="1" applyFont="1" applyProtection="1">
      <protection hidden="1"/>
    </xf>
    <xf numFmtId="172" fontId="6" fillId="14" borderId="11" xfId="0" applyNumberFormat="1" applyFont="1" applyFill="1" applyBorder="1" applyAlignment="1" applyProtection="1">
      <alignment horizontal="center"/>
      <protection locked="0" hidden="1"/>
    </xf>
    <xf numFmtId="172" fontId="6" fillId="14" borderId="49" xfId="0" applyNumberFormat="1" applyFont="1" applyFill="1" applyBorder="1" applyAlignment="1" applyProtection="1">
      <alignment horizontal="center"/>
      <protection locked="0" hidden="1"/>
    </xf>
    <xf numFmtId="172" fontId="6" fillId="14" borderId="11" xfId="0" applyNumberFormat="1" applyFont="1" applyFill="1" applyBorder="1" applyAlignment="1" applyProtection="1">
      <alignment horizontal="center"/>
      <protection locked="0"/>
    </xf>
    <xf numFmtId="172" fontId="6" fillId="14" borderId="49" xfId="0" applyNumberFormat="1" applyFont="1" applyFill="1" applyBorder="1" applyAlignment="1" applyProtection="1">
      <alignment horizontal="center"/>
      <protection locked="0"/>
    </xf>
    <xf numFmtId="49" fontId="14" fillId="14" borderId="49" xfId="0" applyNumberFormat="1" applyFont="1" applyFill="1" applyBorder="1" applyAlignment="1" applyProtection="1">
      <alignment horizontal="left"/>
      <protection locked="0"/>
    </xf>
    <xf numFmtId="174" fontId="17" fillId="11" borderId="0" xfId="0" applyNumberFormat="1" applyFont="1" applyFill="1" applyBorder="1" applyAlignment="1" applyProtection="1">
      <alignment horizontal="center" wrapText="1"/>
      <protection hidden="1"/>
    </xf>
    <xf numFmtId="174" fontId="6" fillId="5" borderId="11" xfId="1" applyNumberFormat="1" applyFont="1" applyFill="1" applyBorder="1" applyAlignment="1" applyProtection="1">
      <alignment horizontal="center"/>
      <protection hidden="1"/>
    </xf>
    <xf numFmtId="174" fontId="7" fillId="5" borderId="59" xfId="0" applyNumberFormat="1" applyFont="1" applyFill="1" applyBorder="1" applyAlignment="1" applyProtection="1">
      <alignment horizontal="center"/>
      <protection hidden="1"/>
    </xf>
    <xf numFmtId="166" fontId="6" fillId="4" borderId="30" xfId="0" applyNumberFormat="1" applyFont="1" applyFill="1" applyBorder="1" applyAlignment="1" applyProtection="1">
      <alignment horizontal="left" indent="1"/>
      <protection locked="0"/>
    </xf>
    <xf numFmtId="166" fontId="6" fillId="4" borderId="7" xfId="0" applyNumberFormat="1" applyFont="1" applyFill="1" applyBorder="1" applyAlignment="1" applyProtection="1">
      <alignment horizontal="left" indent="1"/>
      <protection locked="0"/>
    </xf>
    <xf numFmtId="166" fontId="6" fillId="4" borderId="2" xfId="0" applyNumberFormat="1" applyFont="1" applyFill="1" applyBorder="1" applyAlignment="1" applyProtection="1">
      <alignment horizontal="left" indent="1"/>
      <protection locked="0"/>
    </xf>
    <xf numFmtId="166" fontId="10" fillId="3" borderId="31" xfId="0" applyFont="1" applyFill="1" applyBorder="1" applyAlignment="1" applyProtection="1">
      <alignment horizontal="left" indent="2"/>
    </xf>
    <xf numFmtId="166" fontId="10" fillId="3" borderId="17" xfId="0" applyFont="1" applyFill="1" applyBorder="1" applyAlignment="1" applyProtection="1">
      <alignment horizontal="left" indent="2"/>
    </xf>
    <xf numFmtId="166" fontId="6" fillId="4" borderId="31" xfId="0" applyFont="1" applyFill="1" applyBorder="1" applyAlignment="1" applyProtection="1">
      <alignment horizontal="left" indent="1"/>
      <protection locked="0"/>
    </xf>
    <xf numFmtId="166" fontId="6" fillId="4" borderId="17" xfId="0" applyFont="1" applyFill="1" applyBorder="1" applyAlignment="1" applyProtection="1">
      <alignment horizontal="left" indent="1"/>
      <protection locked="0"/>
    </xf>
    <xf numFmtId="166" fontId="6" fillId="0" borderId="0" xfId="0" applyFont="1" applyAlignment="1" applyProtection="1">
      <alignment horizontal="center"/>
    </xf>
    <xf numFmtId="166" fontId="10" fillId="3" borderId="33" xfId="0" applyFont="1" applyFill="1" applyBorder="1" applyAlignment="1" applyProtection="1">
      <alignment horizontal="left" vertical="center"/>
    </xf>
    <xf numFmtId="166" fontId="10" fillId="3" borderId="34" xfId="0" applyFont="1" applyFill="1" applyBorder="1" applyAlignment="1" applyProtection="1">
      <alignment horizontal="left" vertical="center"/>
    </xf>
    <xf numFmtId="166" fontId="10" fillId="3" borderId="35" xfId="0" applyFont="1" applyFill="1" applyBorder="1" applyAlignment="1" applyProtection="1">
      <alignment horizontal="left" vertical="center"/>
    </xf>
    <xf numFmtId="166" fontId="6" fillId="4" borderId="72" xfId="0" applyFont="1" applyFill="1" applyBorder="1" applyAlignment="1" applyProtection="1">
      <alignment horizontal="left" indent="1"/>
      <protection locked="0"/>
    </xf>
    <xf numFmtId="166" fontId="6" fillId="4" borderId="73" xfId="0" applyFont="1" applyFill="1" applyBorder="1" applyAlignment="1" applyProtection="1">
      <alignment horizontal="left" indent="1"/>
      <protection locked="0"/>
    </xf>
    <xf numFmtId="166" fontId="10" fillId="3" borderId="72" xfId="0" applyFont="1" applyFill="1" applyBorder="1" applyAlignment="1" applyProtection="1">
      <alignment horizontal="left" indent="2"/>
    </xf>
    <xf numFmtId="166" fontId="10" fillId="3" borderId="73" xfId="0" applyFont="1" applyFill="1" applyBorder="1" applyAlignment="1" applyProtection="1">
      <alignment horizontal="left" indent="2"/>
    </xf>
    <xf numFmtId="166" fontId="10" fillId="3" borderId="31" xfId="0" applyFont="1" applyFill="1" applyBorder="1" applyAlignment="1" applyProtection="1">
      <alignment horizontal="left"/>
    </xf>
    <xf numFmtId="166" fontId="10" fillId="3" borderId="32" xfId="0" applyFont="1" applyFill="1" applyBorder="1" applyAlignment="1" applyProtection="1">
      <alignment horizontal="left"/>
    </xf>
    <xf numFmtId="166" fontId="10" fillId="3" borderId="36" xfId="0" applyFont="1" applyFill="1" applyBorder="1" applyAlignment="1" applyProtection="1">
      <alignment horizontal="left"/>
    </xf>
    <xf numFmtId="166" fontId="6" fillId="4" borderId="5" xfId="0" applyFont="1" applyFill="1" applyBorder="1" applyAlignment="1" applyProtection="1">
      <alignment horizontal="left" vertical="top" wrapText="1" indent="1"/>
      <protection locked="0"/>
    </xf>
    <xf numFmtId="166" fontId="6" fillId="4" borderId="39" xfId="0" applyFont="1" applyFill="1" applyBorder="1" applyAlignment="1" applyProtection="1">
      <alignment horizontal="left" vertical="top" wrapText="1" indent="1"/>
      <protection locked="0"/>
    </xf>
    <xf numFmtId="166" fontId="6" fillId="4" borderId="6" xfId="0" applyFont="1" applyFill="1" applyBorder="1" applyAlignment="1" applyProtection="1">
      <alignment horizontal="left" vertical="top" wrapText="1" indent="1"/>
      <protection locked="0"/>
    </xf>
    <xf numFmtId="166" fontId="10" fillId="3" borderId="37" xfId="0" applyFont="1" applyFill="1" applyBorder="1" applyAlignment="1" applyProtection="1">
      <alignment horizontal="left"/>
    </xf>
    <xf numFmtId="166" fontId="10" fillId="3" borderId="38" xfId="0" applyFont="1" applyFill="1" applyBorder="1" applyAlignment="1" applyProtection="1">
      <alignment horizontal="left"/>
    </xf>
    <xf numFmtId="166" fontId="10" fillId="3" borderId="29" xfId="0" applyFont="1" applyFill="1" applyBorder="1" applyAlignment="1" applyProtection="1">
      <alignment horizontal="left"/>
    </xf>
    <xf numFmtId="166" fontId="10" fillId="3" borderId="27" xfId="0" applyFont="1" applyFill="1" applyBorder="1" applyAlignment="1" applyProtection="1">
      <alignment horizontal="left" indent="2"/>
    </xf>
    <xf numFmtId="166" fontId="10" fillId="3" borderId="14" xfId="0" applyFont="1" applyFill="1" applyBorder="1" applyAlignment="1" applyProtection="1">
      <alignment horizontal="left" indent="2"/>
    </xf>
    <xf numFmtId="166" fontId="10" fillId="3" borderId="28" xfId="0" applyFont="1" applyFill="1" applyBorder="1" applyAlignment="1" applyProtection="1">
      <alignment horizontal="left" indent="2"/>
    </xf>
    <xf numFmtId="166" fontId="10" fillId="3" borderId="16" xfId="0" applyFont="1" applyFill="1" applyBorder="1" applyAlignment="1" applyProtection="1">
      <alignment horizontal="left" indent="2"/>
    </xf>
    <xf numFmtId="166" fontId="6" fillId="4" borderId="27" xfId="0" applyFont="1" applyFill="1" applyBorder="1" applyAlignment="1" applyProtection="1">
      <alignment horizontal="left" indent="1"/>
      <protection locked="0"/>
    </xf>
    <xf numFmtId="166" fontId="6" fillId="4" borderId="14" xfId="0" applyFont="1" applyFill="1" applyBorder="1" applyAlignment="1" applyProtection="1">
      <alignment horizontal="left" indent="1"/>
      <protection locked="0"/>
    </xf>
    <xf numFmtId="166" fontId="6" fillId="4" borderId="28" xfId="0" applyFont="1" applyFill="1" applyBorder="1" applyAlignment="1" applyProtection="1">
      <alignment horizontal="left" indent="1"/>
      <protection locked="0"/>
    </xf>
    <xf numFmtId="166" fontId="6" fillId="4" borderId="16" xfId="0" applyFont="1" applyFill="1" applyBorder="1" applyAlignment="1" applyProtection="1">
      <alignment horizontal="left" indent="1"/>
      <protection locked="0"/>
    </xf>
    <xf numFmtId="0" fontId="6" fillId="4" borderId="56" xfId="0" applyNumberFormat="1" applyFont="1" applyFill="1" applyBorder="1" applyAlignment="1" applyProtection="1">
      <alignment horizontal="left" indent="1"/>
      <protection locked="0"/>
    </xf>
    <xf numFmtId="0" fontId="6" fillId="4" borderId="43" xfId="0" applyNumberFormat="1" applyFont="1" applyFill="1" applyBorder="1" applyAlignment="1" applyProtection="1">
      <alignment horizontal="left" indent="1"/>
      <protection locked="0"/>
    </xf>
    <xf numFmtId="0" fontId="6" fillId="4" borderId="45" xfId="0" applyNumberFormat="1" applyFont="1" applyFill="1" applyBorder="1" applyAlignment="1" applyProtection="1">
      <alignment horizontal="left" indent="1"/>
      <protection locked="0"/>
    </xf>
    <xf numFmtId="166" fontId="6" fillId="4" borderId="30" xfId="0" applyFont="1" applyFill="1" applyBorder="1" applyAlignment="1" applyProtection="1">
      <alignment horizontal="left" indent="1"/>
      <protection locked="0"/>
    </xf>
    <xf numFmtId="166" fontId="6" fillId="4" borderId="7" xfId="0" applyFont="1" applyFill="1" applyBorder="1" applyAlignment="1" applyProtection="1">
      <alignment horizontal="left" indent="1"/>
      <protection locked="0"/>
    </xf>
    <xf numFmtId="166" fontId="6" fillId="4" borderId="2" xfId="0" applyFont="1" applyFill="1" applyBorder="1" applyAlignment="1" applyProtection="1">
      <alignment horizontal="left" indent="1"/>
      <protection locked="0"/>
    </xf>
    <xf numFmtId="1" fontId="6" fillId="5" borderId="32" xfId="0" applyNumberFormat="1" applyFont="1" applyFill="1" applyBorder="1" applyAlignment="1" applyProtection="1">
      <alignment horizontal="left" indent="1"/>
    </xf>
    <xf numFmtId="1" fontId="6" fillId="5" borderId="17" xfId="0" applyNumberFormat="1" applyFont="1" applyFill="1" applyBorder="1" applyAlignment="1" applyProtection="1">
      <alignment horizontal="left" indent="1"/>
    </xf>
    <xf numFmtId="166" fontId="6" fillId="4" borderId="22" xfId="0" applyFont="1" applyFill="1" applyBorder="1" applyAlignment="1" applyProtection="1">
      <alignment horizontal="left" indent="1"/>
      <protection locked="0"/>
    </xf>
    <xf numFmtId="168" fontId="6" fillId="4" borderId="28" xfId="0" applyNumberFormat="1" applyFont="1" applyFill="1" applyBorder="1" applyAlignment="1" applyProtection="1">
      <alignment horizontal="left"/>
      <protection locked="0"/>
    </xf>
    <xf numFmtId="168" fontId="6" fillId="4" borderId="22" xfId="0" applyNumberFormat="1" applyFont="1" applyFill="1" applyBorder="1" applyAlignment="1" applyProtection="1">
      <alignment horizontal="left"/>
      <protection locked="0"/>
    </xf>
    <xf numFmtId="168" fontId="6" fillId="4" borderId="16" xfId="0" applyNumberFormat="1" applyFont="1" applyFill="1" applyBorder="1" applyAlignment="1" applyProtection="1">
      <alignment horizontal="left"/>
      <protection locked="0"/>
    </xf>
    <xf numFmtId="0" fontId="6" fillId="4" borderId="27" xfId="0" applyNumberFormat="1" applyFont="1" applyFill="1" applyBorder="1" applyAlignment="1" applyProtection="1">
      <alignment horizontal="left"/>
      <protection locked="0"/>
    </xf>
    <xf numFmtId="0" fontId="6" fillId="4" borderId="23" xfId="0" applyNumberFormat="1" applyFont="1" applyFill="1" applyBorder="1" applyAlignment="1" applyProtection="1">
      <alignment horizontal="left"/>
      <protection locked="0"/>
    </xf>
    <xf numFmtId="0" fontId="6" fillId="4" borderId="14" xfId="0" applyNumberFormat="1" applyFont="1" applyFill="1" applyBorder="1" applyAlignment="1" applyProtection="1">
      <alignment horizontal="left"/>
      <protection locked="0"/>
    </xf>
    <xf numFmtId="166" fontId="23" fillId="0" borderId="0" xfId="0" applyFont="1" applyAlignment="1" applyProtection="1">
      <alignment wrapText="1"/>
      <protection hidden="1"/>
    </xf>
    <xf numFmtId="166" fontId="23" fillId="0" borderId="18" xfId="0" applyFont="1" applyBorder="1" applyAlignment="1" applyProtection="1">
      <alignment wrapText="1"/>
      <protection hidden="1"/>
    </xf>
    <xf numFmtId="166" fontId="27" fillId="13" borderId="0" xfId="0" applyFont="1" applyFill="1" applyBorder="1" applyAlignment="1" applyProtection="1">
      <alignment horizontal="center"/>
      <protection hidden="1"/>
    </xf>
    <xf numFmtId="166" fontId="29" fillId="13" borderId="0" xfId="0" applyFont="1" applyFill="1" applyBorder="1" applyAlignment="1" applyProtection="1">
      <alignment horizontal="center" vertical="center"/>
      <protection hidden="1"/>
    </xf>
    <xf numFmtId="1" fontId="6" fillId="5" borderId="48" xfId="0" applyNumberFormat="1" applyFont="1" applyFill="1" applyBorder="1" applyAlignment="1" applyProtection="1">
      <alignment horizontal="center"/>
      <protection hidden="1"/>
    </xf>
    <xf numFmtId="1" fontId="6" fillId="5" borderId="49" xfId="0" applyNumberFormat="1" applyFont="1" applyFill="1" applyBorder="1" applyAlignment="1" applyProtection="1">
      <alignment horizontal="center"/>
      <protection hidden="1"/>
    </xf>
    <xf numFmtId="166" fontId="10" fillId="9" borderId="42" xfId="0" applyFont="1" applyFill="1" applyBorder="1" applyAlignment="1" applyProtection="1">
      <alignment horizontal="center" vertical="center" wrapText="1"/>
      <protection hidden="1"/>
    </xf>
    <xf numFmtId="166" fontId="10" fillId="9" borderId="43" xfId="0" applyFont="1" applyFill="1" applyBorder="1" applyAlignment="1" applyProtection="1">
      <alignment horizontal="center" vertical="center" wrapText="1"/>
      <protection hidden="1"/>
    </xf>
    <xf numFmtId="166" fontId="10" fillId="9" borderId="46" xfId="0" applyFont="1" applyFill="1" applyBorder="1" applyAlignment="1" applyProtection="1">
      <alignment horizontal="center" vertical="center" wrapText="1"/>
      <protection hidden="1"/>
    </xf>
    <xf numFmtId="166" fontId="10" fillId="9" borderId="47" xfId="0" applyFont="1" applyFill="1" applyBorder="1" applyAlignment="1" applyProtection="1">
      <alignment horizontal="center" vertical="center" wrapText="1"/>
      <protection hidden="1"/>
    </xf>
    <xf numFmtId="166" fontId="10" fillId="9" borderId="45" xfId="0" applyFont="1" applyFill="1" applyBorder="1" applyAlignment="1" applyProtection="1">
      <alignment horizontal="center" vertical="center" wrapText="1"/>
      <protection hidden="1"/>
    </xf>
    <xf numFmtId="166" fontId="7" fillId="0" borderId="0" xfId="0" applyFont="1" applyBorder="1" applyAlignment="1" applyProtection="1">
      <alignment horizontal="left"/>
      <protection hidden="1"/>
    </xf>
    <xf numFmtId="49" fontId="6" fillId="4" borderId="53" xfId="0" applyNumberFormat="1" applyFont="1" applyFill="1" applyBorder="1" applyAlignment="1" applyProtection="1">
      <alignment horizontal="left"/>
      <protection locked="0" hidden="1"/>
    </xf>
    <xf numFmtId="49" fontId="6" fillId="4" borderId="22" xfId="0" applyNumberFormat="1" applyFont="1" applyFill="1" applyBorder="1" applyAlignment="1" applyProtection="1">
      <alignment horizontal="left"/>
      <protection locked="0" hidden="1"/>
    </xf>
    <xf numFmtId="49" fontId="6" fillId="4" borderId="26" xfId="0" applyNumberFormat="1" applyFont="1" applyFill="1" applyBorder="1" applyAlignment="1" applyProtection="1">
      <alignment horizontal="left"/>
      <protection locked="0" hidden="1"/>
    </xf>
    <xf numFmtId="49" fontId="6" fillId="4" borderId="0" xfId="0" applyNumberFormat="1" applyFont="1" applyFill="1" applyBorder="1" applyAlignment="1" applyProtection="1">
      <alignment horizontal="left"/>
      <protection locked="0" hidden="1"/>
    </xf>
    <xf numFmtId="166" fontId="10" fillId="9" borderId="50" xfId="0" applyFont="1" applyFill="1" applyBorder="1" applyAlignment="1" applyProtection="1">
      <alignment horizontal="center" vertical="center" wrapText="1"/>
      <protection hidden="1"/>
    </xf>
    <xf numFmtId="166" fontId="10" fillId="9" borderId="54" xfId="0" applyFont="1" applyFill="1" applyBorder="1" applyAlignment="1" applyProtection="1">
      <alignment horizontal="center" vertical="center" wrapText="1"/>
      <protection hidden="1"/>
    </xf>
    <xf numFmtId="166" fontId="10" fillId="9" borderId="55" xfId="0" applyFont="1" applyFill="1" applyBorder="1" applyAlignment="1" applyProtection="1">
      <alignment horizontal="center" vertical="center" wrapText="1"/>
      <protection hidden="1"/>
    </xf>
    <xf numFmtId="166" fontId="10" fillId="9" borderId="56" xfId="0" applyFont="1" applyFill="1" applyBorder="1" applyAlignment="1" applyProtection="1">
      <alignment horizontal="center" vertical="center" wrapText="1"/>
      <protection hidden="1"/>
    </xf>
    <xf numFmtId="166" fontId="11" fillId="9" borderId="37" xfId="0" applyFont="1" applyFill="1" applyBorder="1" applyAlignment="1" applyProtection="1">
      <alignment horizontal="center"/>
      <protection hidden="1"/>
    </xf>
    <xf numFmtId="166" fontId="11" fillId="9" borderId="38" xfId="0" applyFont="1" applyFill="1" applyBorder="1" applyAlignment="1" applyProtection="1">
      <alignment horizontal="center"/>
      <protection hidden="1"/>
    </xf>
    <xf numFmtId="49" fontId="6" fillId="4" borderId="48" xfId="0" applyNumberFormat="1" applyFont="1" applyFill="1" applyBorder="1" applyAlignment="1" applyProtection="1">
      <alignment horizontal="left"/>
      <protection locked="0" hidden="1"/>
    </xf>
    <xf numFmtId="49" fontId="6" fillId="4" borderId="52" xfId="0" applyNumberFormat="1" applyFont="1" applyFill="1" applyBorder="1" applyAlignment="1" applyProtection="1">
      <alignment horizontal="left"/>
      <protection locked="0" hidden="1"/>
    </xf>
    <xf numFmtId="166" fontId="10" fillId="9" borderId="40" xfId="0" applyFont="1" applyFill="1" applyBorder="1" applyAlignment="1" applyProtection="1">
      <alignment horizontal="center" vertical="center" wrapText="1"/>
      <protection hidden="1"/>
    </xf>
    <xf numFmtId="166" fontId="10" fillId="9" borderId="41" xfId="0" applyFont="1" applyFill="1" applyBorder="1" applyAlignment="1" applyProtection="1">
      <alignment horizontal="center" vertical="center" wrapText="1"/>
      <protection hidden="1"/>
    </xf>
    <xf numFmtId="166" fontId="32" fillId="9" borderId="40" xfId="0" applyFont="1" applyFill="1" applyBorder="1" applyAlignment="1" applyProtection="1">
      <alignment horizontal="center" vertical="center" wrapText="1"/>
      <protection hidden="1"/>
    </xf>
    <xf numFmtId="166" fontId="32" fillId="9" borderId="41" xfId="0" applyFont="1" applyFill="1" applyBorder="1" applyAlignment="1" applyProtection="1">
      <alignment horizontal="center" vertical="center" wrapText="1"/>
      <protection hidden="1"/>
    </xf>
    <xf numFmtId="2" fontId="10" fillId="9" borderId="42" xfId="0" applyNumberFormat="1" applyFont="1" applyFill="1" applyBorder="1" applyAlignment="1" applyProtection="1">
      <alignment horizontal="center" vertical="center" wrapText="1"/>
      <protection hidden="1"/>
    </xf>
    <xf numFmtId="2" fontId="10" fillId="9" borderId="43" xfId="0" applyNumberFormat="1" applyFont="1" applyFill="1" applyBorder="1" applyAlignment="1" applyProtection="1">
      <alignment horizontal="center" vertical="center" wrapText="1"/>
      <protection hidden="1"/>
    </xf>
    <xf numFmtId="166" fontId="10" fillId="13" borderId="0" xfId="0" applyFont="1" applyFill="1" applyBorder="1" applyAlignment="1" applyProtection="1">
      <alignment horizontal="center" vertical="center" wrapText="1"/>
      <protection hidden="1"/>
    </xf>
    <xf numFmtId="166" fontId="32" fillId="9" borderId="42" xfId="0" applyFont="1" applyFill="1" applyBorder="1" applyAlignment="1" applyProtection="1">
      <alignment horizontal="center" vertical="center" wrapText="1"/>
      <protection hidden="1"/>
    </xf>
    <xf numFmtId="166" fontId="32" fillId="9" borderId="43" xfId="0" applyFont="1" applyFill="1" applyBorder="1" applyAlignment="1" applyProtection="1">
      <alignment horizontal="center" vertical="center" wrapText="1"/>
      <protection hidden="1"/>
    </xf>
    <xf numFmtId="166" fontId="24" fillId="0" borderId="0" xfId="0" applyFont="1" applyAlignment="1" applyProtection="1">
      <alignment horizontal="center" wrapText="1"/>
      <protection hidden="1"/>
    </xf>
    <xf numFmtId="166" fontId="24" fillId="0" borderId="18" xfId="0" applyFont="1" applyBorder="1" applyAlignment="1" applyProtection="1">
      <alignment horizontal="center" wrapText="1"/>
      <protection hidden="1"/>
    </xf>
    <xf numFmtId="166" fontId="30" fillId="13" borderId="0" xfId="0" applyFont="1" applyFill="1" applyBorder="1" applyAlignment="1" applyProtection="1">
      <alignment horizontal="center"/>
      <protection hidden="1"/>
    </xf>
    <xf numFmtId="166" fontId="10" fillId="9" borderId="63" xfId="0" applyFont="1" applyFill="1" applyBorder="1" applyAlignment="1" applyProtection="1">
      <alignment horizontal="center" vertical="center" wrapText="1"/>
      <protection hidden="1"/>
    </xf>
    <xf numFmtId="166" fontId="11" fillId="9" borderId="27" xfId="0" applyFont="1" applyFill="1" applyBorder="1" applyAlignment="1" applyProtection="1">
      <alignment horizontal="center" wrapText="1"/>
      <protection hidden="1"/>
    </xf>
    <xf numFmtId="166" fontId="11" fillId="9" borderId="23" xfId="0" applyFont="1" applyFill="1" applyBorder="1" applyAlignment="1" applyProtection="1">
      <alignment horizontal="center" wrapText="1"/>
      <protection hidden="1"/>
    </xf>
    <xf numFmtId="166" fontId="11" fillId="9" borderId="14" xfId="0" applyFont="1" applyFill="1" applyBorder="1" applyAlignment="1" applyProtection="1">
      <alignment horizontal="center" wrapText="1"/>
      <protection hidden="1"/>
    </xf>
    <xf numFmtId="166" fontId="11" fillId="9" borderId="3" xfId="0" applyFont="1" applyFill="1" applyBorder="1" applyAlignment="1" applyProtection="1">
      <alignment horizontal="center"/>
      <protection hidden="1"/>
    </xf>
    <xf numFmtId="166" fontId="11" fillId="9" borderId="32" xfId="0" applyFont="1" applyFill="1" applyBorder="1" applyAlignment="1" applyProtection="1">
      <alignment horizontal="center"/>
      <protection hidden="1"/>
    </xf>
    <xf numFmtId="166" fontId="11" fillId="9" borderId="4" xfId="0" applyFont="1" applyFill="1" applyBorder="1" applyAlignment="1" applyProtection="1">
      <alignment horizontal="center"/>
      <protection hidden="1"/>
    </xf>
    <xf numFmtId="166" fontId="10" fillId="9" borderId="60" xfId="0" applyFont="1" applyFill="1" applyBorder="1" applyAlignment="1" applyProtection="1">
      <alignment horizontal="center" vertical="center" wrapText="1"/>
      <protection hidden="1"/>
    </xf>
    <xf numFmtId="166" fontId="11" fillId="9" borderId="37" xfId="0" applyFont="1" applyFill="1" applyBorder="1" applyAlignment="1" applyProtection="1">
      <alignment horizontal="center" vertical="center" wrapText="1"/>
      <protection hidden="1"/>
    </xf>
    <xf numFmtId="166" fontId="11" fillId="9" borderId="29" xfId="0" applyFont="1" applyFill="1" applyBorder="1" applyAlignment="1" applyProtection="1">
      <alignment horizontal="center" vertical="center" wrapText="1"/>
      <protection hidden="1"/>
    </xf>
    <xf numFmtId="166" fontId="6" fillId="8" borderId="53" xfId="0" applyFont="1" applyFill="1" applyBorder="1" applyAlignment="1" applyProtection="1">
      <alignment horizontal="center"/>
      <protection hidden="1"/>
    </xf>
    <xf numFmtId="166" fontId="6" fillId="8" borderId="30" xfId="0" applyFont="1" applyFill="1" applyBorder="1" applyAlignment="1" applyProtection="1">
      <alignment horizontal="center"/>
      <protection hidden="1"/>
    </xf>
    <xf numFmtId="166" fontId="11" fillId="9" borderId="31" xfId="0" applyFont="1" applyFill="1" applyBorder="1" applyAlignment="1" applyProtection="1">
      <alignment horizontal="center"/>
      <protection hidden="1"/>
    </xf>
    <xf numFmtId="166" fontId="11" fillId="9" borderId="17" xfId="0" applyFont="1" applyFill="1" applyBorder="1" applyAlignment="1" applyProtection="1">
      <alignment horizontal="center"/>
      <protection hidden="1"/>
    </xf>
    <xf numFmtId="166" fontId="11" fillId="9" borderId="27" xfId="0" applyFont="1" applyFill="1" applyBorder="1" applyAlignment="1" applyProtection="1">
      <alignment horizontal="center"/>
      <protection hidden="1"/>
    </xf>
    <xf numFmtId="166" fontId="11" fillId="9" borderId="23" xfId="0" applyFont="1" applyFill="1" applyBorder="1" applyAlignment="1" applyProtection="1">
      <alignment horizontal="center"/>
      <protection hidden="1"/>
    </xf>
    <xf numFmtId="166" fontId="11" fillId="9" borderId="28" xfId="0" applyFont="1" applyFill="1" applyBorder="1" applyAlignment="1" applyProtection="1">
      <alignment horizontal="center" wrapText="1"/>
      <protection hidden="1"/>
    </xf>
    <xf numFmtId="166" fontId="11" fillId="9" borderId="22" xfId="0" applyFont="1" applyFill="1" applyBorder="1" applyAlignment="1" applyProtection="1">
      <alignment horizontal="center" wrapText="1"/>
      <protection hidden="1"/>
    </xf>
    <xf numFmtId="166" fontId="7" fillId="0" borderId="52" xfId="0" applyFont="1" applyBorder="1" applyAlignment="1" applyProtection="1">
      <alignment horizontal="left"/>
      <protection hidden="1"/>
    </xf>
    <xf numFmtId="166" fontId="10" fillId="9" borderId="64" xfId="0" applyFont="1" applyFill="1" applyBorder="1" applyAlignment="1" applyProtection="1">
      <alignment horizontal="center" vertical="center" wrapText="1"/>
      <protection hidden="1"/>
    </xf>
    <xf numFmtId="49" fontId="6" fillId="4" borderId="53" xfId="0" applyNumberFormat="1" applyFont="1" applyFill="1" applyBorder="1" applyAlignment="1" applyProtection="1">
      <alignment horizontal="center"/>
      <protection locked="0" hidden="1"/>
    </xf>
    <xf numFmtId="49" fontId="6" fillId="4" borderId="30" xfId="0" applyNumberFormat="1" applyFont="1" applyFill="1" applyBorder="1" applyAlignment="1" applyProtection="1">
      <alignment horizontal="center"/>
      <protection locked="0" hidden="1"/>
    </xf>
    <xf numFmtId="49" fontId="6" fillId="4" borderId="58" xfId="0" applyNumberFormat="1" applyFont="1" applyFill="1" applyBorder="1" applyAlignment="1" applyProtection="1">
      <alignment horizontal="center"/>
      <protection locked="0" hidden="1"/>
    </xf>
    <xf numFmtId="49" fontId="6" fillId="4" borderId="36" xfId="0" applyNumberFormat="1" applyFont="1" applyFill="1" applyBorder="1" applyAlignment="1" applyProtection="1">
      <alignment horizontal="center"/>
      <protection locked="0" hidden="1"/>
    </xf>
    <xf numFmtId="166" fontId="10" fillId="9" borderId="65" xfId="0" applyFont="1" applyFill="1" applyBorder="1" applyAlignment="1" applyProtection="1">
      <alignment horizontal="center" vertical="center" wrapText="1"/>
      <protection hidden="1"/>
    </xf>
    <xf numFmtId="49" fontId="6" fillId="4" borderId="51" xfId="0" applyNumberFormat="1" applyFont="1" applyFill="1" applyBorder="1" applyAlignment="1" applyProtection="1">
      <alignment horizontal="center"/>
      <protection locked="0" hidden="1"/>
    </xf>
    <xf numFmtId="49" fontId="6" fillId="4" borderId="57" xfId="0" applyNumberFormat="1" applyFont="1" applyFill="1" applyBorder="1" applyAlignment="1" applyProtection="1">
      <alignment horizontal="center"/>
      <protection locked="0" hidden="1"/>
    </xf>
    <xf numFmtId="166" fontId="10" fillId="9" borderId="44" xfId="0" applyFont="1" applyFill="1" applyBorder="1" applyAlignment="1" applyProtection="1">
      <alignment horizontal="center" vertical="center" wrapText="1"/>
      <protection hidden="1"/>
    </xf>
    <xf numFmtId="0" fontId="6" fillId="4" borderId="11" xfId="0" applyNumberFormat="1" applyFont="1" applyFill="1" applyBorder="1" applyAlignment="1" applyProtection="1">
      <alignment horizontal="center" vertical="center" wrapText="1"/>
      <protection locked="0"/>
    </xf>
    <xf numFmtId="0" fontId="6" fillId="4" borderId="71" xfId="0" applyNumberFormat="1" applyFont="1" applyFill="1" applyBorder="1" applyAlignment="1" applyProtection="1">
      <alignment horizontal="center" vertical="center" wrapText="1"/>
      <protection locked="0"/>
    </xf>
    <xf numFmtId="0" fontId="6" fillId="4" borderId="7" xfId="0" applyNumberFormat="1" applyFont="1" applyFill="1" applyBorder="1" applyAlignment="1" applyProtection="1">
      <alignment horizontal="center" vertical="center" wrapText="1"/>
      <protection locked="0"/>
    </xf>
    <xf numFmtId="0" fontId="6" fillId="4" borderId="2" xfId="0" applyNumberFormat="1" applyFont="1" applyFill="1" applyBorder="1" applyAlignment="1" applyProtection="1">
      <alignment horizontal="center" vertical="center" wrapText="1"/>
      <protection locked="0"/>
    </xf>
    <xf numFmtId="166" fontId="36" fillId="3" borderId="68" xfId="0" applyFont="1" applyFill="1" applyBorder="1" applyAlignment="1" applyProtection="1">
      <alignment horizontal="left" vertical="center" wrapText="1"/>
    </xf>
    <xf numFmtId="166" fontId="36" fillId="3" borderId="69" xfId="0" applyFont="1" applyFill="1" applyBorder="1" applyAlignment="1" applyProtection="1">
      <alignment horizontal="left" vertical="center" wrapText="1"/>
    </xf>
    <xf numFmtId="166" fontId="36" fillId="3" borderId="1" xfId="0" applyFont="1" applyFill="1" applyBorder="1" applyAlignment="1" applyProtection="1">
      <alignment horizontal="left" vertical="center" wrapText="1"/>
    </xf>
    <xf numFmtId="166" fontId="36" fillId="3" borderId="7" xfId="0" applyFont="1" applyFill="1" applyBorder="1" applyAlignment="1" applyProtection="1">
      <alignment horizontal="left" vertical="center" wrapText="1"/>
    </xf>
    <xf numFmtId="166" fontId="10" fillId="3" borderId="74" xfId="0" applyFont="1" applyFill="1" applyBorder="1" applyAlignment="1" applyProtection="1">
      <alignment horizontal="left"/>
    </xf>
    <xf numFmtId="0" fontId="6" fillId="4" borderId="69" xfId="0" applyNumberFormat="1" applyFont="1" applyFill="1" applyBorder="1" applyAlignment="1" applyProtection="1">
      <alignment horizontal="left" vertical="center" wrapText="1"/>
      <protection locked="0"/>
    </xf>
    <xf numFmtId="0" fontId="6" fillId="4" borderId="7" xfId="0" applyNumberFormat="1" applyFont="1" applyFill="1" applyBorder="1" applyAlignment="1" applyProtection="1">
      <alignment horizontal="left" vertical="center" wrapText="1"/>
      <protection locked="0"/>
    </xf>
    <xf numFmtId="166" fontId="10" fillId="3" borderId="37" xfId="0" applyFont="1" applyFill="1" applyBorder="1" applyAlignment="1" applyProtection="1">
      <alignment horizontal="center"/>
    </xf>
    <xf numFmtId="166" fontId="10" fillId="3" borderId="38" xfId="0" applyFont="1" applyFill="1" applyBorder="1" applyAlignment="1" applyProtection="1">
      <alignment horizontal="center"/>
    </xf>
    <xf numFmtId="166" fontId="10" fillId="3" borderId="29" xfId="0" applyFont="1" applyFill="1" applyBorder="1" applyAlignment="1" applyProtection="1">
      <alignment horizontal="center"/>
    </xf>
    <xf numFmtId="0" fontId="6" fillId="4" borderId="69" xfId="0" applyNumberFormat="1" applyFont="1" applyFill="1" applyBorder="1" applyAlignment="1" applyProtection="1">
      <alignment horizontal="center" vertical="center" wrapText="1"/>
      <protection locked="0"/>
    </xf>
    <xf numFmtId="0" fontId="6" fillId="4" borderId="70" xfId="0" applyNumberFormat="1" applyFont="1" applyFill="1" applyBorder="1" applyAlignment="1" applyProtection="1">
      <alignment horizontal="center" vertical="center" wrapText="1"/>
      <protection locked="0"/>
    </xf>
    <xf numFmtId="166" fontId="36" fillId="3" borderId="65" xfId="0" applyFont="1" applyFill="1" applyBorder="1" applyAlignment="1" applyProtection="1">
      <alignment horizontal="left" vertical="center" wrapText="1"/>
    </xf>
    <xf numFmtId="166" fontId="36" fillId="3" borderId="60" xfId="0" applyFont="1" applyFill="1" applyBorder="1" applyAlignment="1" applyProtection="1">
      <alignment horizontal="left" vertical="center" wrapText="1"/>
    </xf>
    <xf numFmtId="166" fontId="36" fillId="3" borderId="75" xfId="0" applyFont="1" applyFill="1" applyBorder="1" applyAlignment="1" applyProtection="1">
      <alignment horizontal="left" vertical="center" wrapText="1"/>
    </xf>
    <xf numFmtId="166" fontId="36" fillId="3" borderId="67" xfId="0" applyFont="1" applyFill="1" applyBorder="1" applyAlignment="1" applyProtection="1">
      <alignment horizontal="left" vertical="center" wrapText="1"/>
    </xf>
    <xf numFmtId="166" fontId="36" fillId="3" borderId="72" xfId="0" applyFont="1" applyFill="1" applyBorder="1" applyAlignment="1" applyProtection="1">
      <alignment horizontal="left" vertical="center" wrapText="1"/>
    </xf>
    <xf numFmtId="166" fontId="36" fillId="3" borderId="49" xfId="0" applyFont="1" applyFill="1" applyBorder="1" applyAlignment="1" applyProtection="1">
      <alignment horizontal="left" vertical="center" wrapText="1"/>
    </xf>
    <xf numFmtId="166" fontId="36" fillId="3" borderId="3" xfId="0" applyFont="1" applyFill="1" applyBorder="1" applyAlignment="1" applyProtection="1">
      <alignment horizontal="left" vertical="center" wrapText="1"/>
    </xf>
    <xf numFmtId="166" fontId="36" fillId="3" borderId="9" xfId="0" applyFont="1" applyFill="1" applyBorder="1" applyAlignment="1" applyProtection="1">
      <alignment horizontal="left" vertical="center" wrapText="1"/>
    </xf>
    <xf numFmtId="0" fontId="6" fillId="4" borderId="9" xfId="0" applyNumberFormat="1" applyFont="1" applyFill="1" applyBorder="1" applyAlignment="1" applyProtection="1">
      <alignment horizontal="left" vertical="center" wrapText="1"/>
      <protection locked="0"/>
    </xf>
    <xf numFmtId="0" fontId="6" fillId="4" borderId="9" xfId="0" applyNumberFormat="1" applyFont="1" applyFill="1" applyBorder="1" applyAlignment="1" applyProtection="1">
      <alignment horizontal="center" vertical="center" wrapText="1"/>
      <protection locked="0"/>
    </xf>
    <xf numFmtId="0" fontId="6" fillId="4" borderId="4" xfId="0" applyNumberFormat="1" applyFont="1" applyFill="1" applyBorder="1" applyAlignment="1" applyProtection="1">
      <alignment horizontal="center" vertical="center" wrapText="1"/>
      <protection locked="0"/>
    </xf>
    <xf numFmtId="166" fontId="5" fillId="2" borderId="0" xfId="0" applyFont="1" applyFill="1" applyAlignment="1">
      <alignment horizontal="left" vertical="center" wrapText="1"/>
    </xf>
    <xf numFmtId="166" fontId="8" fillId="2" borderId="0" xfId="0" applyFont="1" applyFill="1" applyAlignment="1">
      <alignment horizontal="center" vertical="center" wrapText="1"/>
    </xf>
    <xf numFmtId="166" fontId="10" fillId="9" borderId="42" xfId="0" applyFont="1" applyFill="1" applyBorder="1" applyAlignment="1" applyProtection="1">
      <alignment horizontal="center" vertical="center" wrapText="1"/>
    </xf>
    <xf numFmtId="166" fontId="10" fillId="9" borderId="43" xfId="0" applyFont="1" applyFill="1" applyBorder="1" applyAlignment="1" applyProtection="1">
      <alignment horizontal="center" vertical="center" wrapText="1"/>
    </xf>
    <xf numFmtId="166" fontId="10" fillId="9" borderId="54" xfId="0" applyFont="1" applyFill="1" applyBorder="1" applyAlignment="1" applyProtection="1">
      <alignment horizontal="center" vertical="center" wrapText="1"/>
    </xf>
    <xf numFmtId="166" fontId="10" fillId="9" borderId="66" xfId="0" applyFont="1" applyFill="1" applyBorder="1" applyAlignment="1" applyProtection="1">
      <alignment horizontal="center" vertical="center" wrapText="1"/>
    </xf>
  </cellXfs>
  <cellStyles count="5">
    <cellStyle name="Currency" xfId="1" builtinId="4"/>
    <cellStyle name="Normal" xfId="0" builtinId="0"/>
    <cellStyle name="Normal 2 2" xfId="3" xr:uid="{00000000-0005-0000-0000-000002000000}"/>
    <cellStyle name="Normal 5" xfId="4" xr:uid="{00000000-0005-0000-0000-000003000000}"/>
    <cellStyle name="Percent" xfId="2" builtinId="5"/>
  </cellStyles>
  <dxfs count="93">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171" formatCode="_-[$$-409]* #,##0.00_ ;_-[$$-409]* \-#,##0.00\ ;_-[$$-409]* &quot;-&quot;??_ ;_-@_ "/>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strike val="0"/>
        <outline val="0"/>
        <shadow val="0"/>
        <u val="none"/>
        <vertAlign val="baseline"/>
        <sz val="10"/>
        <color theme="0"/>
        <name val="Arial"/>
        <family val="2"/>
        <scheme val="none"/>
      </font>
    </dxf>
    <dxf>
      <font>
        <b val="0"/>
        <i val="0"/>
        <strike val="0"/>
        <condense val="0"/>
        <extend val="0"/>
        <outline val="0"/>
        <shadow val="0"/>
        <u val="none"/>
        <vertAlign val="baseline"/>
        <sz val="10"/>
        <color theme="0"/>
        <name val="Arial"/>
        <family val="2"/>
        <scheme val="none"/>
      </font>
      <fill>
        <patternFill patternType="solid">
          <fgColor indexed="64"/>
          <bgColor theme="0"/>
        </patternFill>
      </fill>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30" formatCode="@"/>
      <fill>
        <patternFill patternType="solid">
          <fgColor indexed="64"/>
          <bgColor theme="0"/>
        </patternFill>
      </fill>
      <alignment horizontal="general" vertical="bottom" textRotation="0" wrapText="0" indent="0" justifyLastLine="0" shrinkToFit="0" readingOrder="0"/>
    </dxf>
    <dxf>
      <font>
        <b/>
        <i val="0"/>
        <color rgb="FFC00000"/>
      </font>
    </dxf>
    <dxf>
      <font>
        <b/>
        <i val="0"/>
        <color theme="1"/>
      </font>
    </dxf>
    <dxf>
      <font>
        <condense val="0"/>
        <extend val="0"/>
        <color indexed="10"/>
      </font>
    </dxf>
    <dxf>
      <font>
        <b/>
        <i val="0"/>
        <color rgb="FFC00000"/>
      </font>
    </dxf>
    <dxf>
      <font>
        <b val="0"/>
        <i val="0"/>
        <color theme="1"/>
      </font>
    </dxf>
    <dxf>
      <font>
        <condense val="0"/>
        <extend val="0"/>
        <color indexed="10"/>
      </font>
    </dxf>
    <dxf>
      <font>
        <b/>
        <i val="0"/>
        <color rgb="FFC00000"/>
      </font>
    </dxf>
    <dxf>
      <font>
        <b/>
        <i val="0"/>
        <color theme="1"/>
      </font>
    </dxf>
    <dxf>
      <font>
        <condense val="0"/>
        <extend val="0"/>
        <color indexed="10"/>
      </font>
    </dxf>
    <dxf>
      <font>
        <condense val="0"/>
        <extend val="0"/>
        <color indexed="22"/>
      </font>
    </dxf>
  </dxfs>
  <tableStyles count="0" defaultTableStyle="TableStyleMedium9" defaultPivotStyle="PivotStyleLight16"/>
  <colors>
    <mruColors>
      <color rgb="FF762123"/>
      <color rgb="FF008A3E"/>
      <color rgb="FF000000"/>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497416</xdr:colOff>
      <xdr:row>0</xdr:row>
      <xdr:rowOff>242782</xdr:rowOff>
    </xdr:from>
    <xdr:to>
      <xdr:col>4</xdr:col>
      <xdr:colOff>1428750</xdr:colOff>
      <xdr:row>6</xdr:row>
      <xdr:rowOff>137606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476749" y="242782"/>
          <a:ext cx="3079751" cy="1101324"/>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xdr:col>
          <xdr:colOff>287867</xdr:colOff>
          <xdr:row>36</xdr:row>
          <xdr:rowOff>84667</xdr:rowOff>
        </xdr:from>
        <xdr:to>
          <xdr:col>2</xdr:col>
          <xdr:colOff>783167</xdr:colOff>
          <xdr:row>37</xdr:row>
          <xdr:rowOff>84667</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100" b="0" i="0" u="none" strike="noStrike" baseline="0">
                  <a:solidFill>
                    <a:srgbClr val="000000"/>
                  </a:solidFill>
                  <a:latin typeface="Arial"/>
                  <a:cs typeface="Arial"/>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59267</xdr:colOff>
          <xdr:row>3</xdr:row>
          <xdr:rowOff>59267</xdr:rowOff>
        </xdr:from>
        <xdr:to>
          <xdr:col>13</xdr:col>
          <xdr:colOff>630767</xdr:colOff>
          <xdr:row>8</xdr:row>
          <xdr:rowOff>135467</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Refresh Resource List </a:t>
              </a:r>
            </a:p>
            <a:p>
              <a:pPr algn="ctr" rtl="0">
                <a:defRPr sz="1000"/>
              </a:pPr>
              <a:r>
                <a:rPr lang="en-US" sz="1000" b="0" i="0" u="none" strike="noStrike" baseline="0">
                  <a:solidFill>
                    <a:srgbClr val="000000"/>
                  </a:solidFill>
                  <a:latin typeface="Arial"/>
                  <a:cs typeface="Arial"/>
                </a:rPr>
                <a:t>and Rate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38</xdr:row>
          <xdr:rowOff>67733</xdr:rowOff>
        </xdr:from>
        <xdr:to>
          <xdr:col>2</xdr:col>
          <xdr:colOff>800100</xdr:colOff>
          <xdr:row>39</xdr:row>
          <xdr:rowOff>84667</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000-00003B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Budgeting Only</a:t>
              </a:r>
            </a:p>
            <a:p>
              <a:pPr algn="ctr" rtl="0">
                <a:defRPr sz="1000"/>
              </a:pPr>
              <a:endParaRPr lang="en-US" sz="1000" b="0" i="0" u="none" strike="noStrike" baseline="0">
                <a:solidFill>
                  <a:srgbClr val="000000"/>
                </a:solidFill>
                <a:latin typeface="Arial"/>
                <a:cs typeface="Arial"/>
              </a:endParaRP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440267</xdr:colOff>
          <xdr:row>4</xdr:row>
          <xdr:rowOff>0</xdr:rowOff>
        </xdr:from>
        <xdr:to>
          <xdr:col>7</xdr:col>
          <xdr:colOff>630767</xdr:colOff>
          <xdr:row>5</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1667933</xdr:colOff>
          <xdr:row>35</xdr:row>
          <xdr:rowOff>29633</xdr:rowOff>
        </xdr:from>
        <xdr:to>
          <xdr:col>3</xdr:col>
          <xdr:colOff>143933</xdr:colOff>
          <xdr:row>36</xdr:row>
          <xdr:rowOff>46567</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100" b="0" i="0" u="none" strike="noStrike" baseline="0">
                  <a:solidFill>
                    <a:srgbClr val="000000"/>
                  </a:solidFill>
                  <a:latin typeface="Arial"/>
                  <a:cs typeface="Arial"/>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66675</xdr:colOff>
      <xdr:row>32</xdr:row>
      <xdr:rowOff>85725</xdr:rowOff>
    </xdr:from>
    <xdr:to>
      <xdr:col>6</xdr:col>
      <xdr:colOff>0</xdr:colOff>
      <xdr:row>32</xdr:row>
      <xdr:rowOff>85725</xdr:rowOff>
    </xdr:to>
    <xdr:sp macro="" textlink="">
      <xdr:nvSpPr>
        <xdr:cNvPr id="3201" name="Line 1">
          <a:extLst>
            <a:ext uri="{FF2B5EF4-FFF2-40B4-BE49-F238E27FC236}">
              <a16:creationId xmlns:a16="http://schemas.microsoft.com/office/drawing/2014/main" id="{00000000-0008-0000-0400-0000810C0000}"/>
            </a:ext>
          </a:extLst>
        </xdr:cNvPr>
        <xdr:cNvSpPr>
          <a:spLocks noChangeShapeType="1"/>
        </xdr:cNvSpPr>
      </xdr:nvSpPr>
      <xdr:spPr bwMode="auto">
        <a:xfrm>
          <a:off x="3114675" y="4362450"/>
          <a:ext cx="904875" cy="0"/>
        </a:xfrm>
        <a:prstGeom prst="line">
          <a:avLst/>
        </a:prstGeom>
        <a:noFill/>
        <a:ln w="9525">
          <a:solidFill>
            <a:srgbClr val="000000"/>
          </a:solidFill>
          <a:round/>
          <a:headEnd/>
          <a:tailEnd type="triangle" w="med" len="med"/>
        </a:ln>
      </xdr:spPr>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EPTLIST_1" backgroundRefresh="0" connectionId="2" xr16:uid="{00000000-0016-0000-0500-000000000000}" autoFormatId="16" applyNumberFormats="0" applyBorderFormats="0" applyFontFormats="0" applyPatternFormats="0" applyAlignmentFormats="0" applyWidthHeightFormats="0">
  <queryTableRefresh nextId="5">
    <queryTableFields count="4">
      <queryTableField id="1" name="DeptList" tableColumnId="1"/>
      <queryTableField id="3" name="Item Type" tableColumnId="2"/>
      <queryTableField id="2" name="Path" tableColumnId="3"/>
      <queryTableField id="4" name="filter"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Rates" backgroundRefresh="0" connectionId="10" xr16:uid="{00000000-0016-0000-0500-000001000000}" autoFormatId="16" applyNumberFormats="0" applyBorderFormats="0" applyFontFormats="0" applyPatternFormats="0" applyAlignmentFormats="0" applyWidthHeightFormats="0">
  <queryTableRefresh nextId="5">
    <queryTableFields count="4">
      <queryTableField id="1" name="Title" tableColumnId="1"/>
      <queryTableField id="2" name="StdRates" tableColumnId="2"/>
      <queryTableField id="4" name="Item Type" tableColumnId="3"/>
      <queryTableField id="3" name="Path"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vcArea_1" backgroundRefresh="0" connectionId="15" xr16:uid="{00000000-0016-0000-0500-000002000000}" autoFormatId="16" applyNumberFormats="0" applyBorderFormats="0" applyFontFormats="0" applyPatternFormats="0" applyAlignmentFormats="0" applyWidthHeightFormats="0">
  <queryTableRefresh nextId="5">
    <queryTableFields count="4">
      <queryTableField id="1" name="SvcArea" tableColumnId="1"/>
      <queryTableField id="3" name="Item Type" tableColumnId="2"/>
      <queryTableField id="2" name="Path" tableColumnId="3"/>
      <queryTableField id="4" name="Sor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mplList3_1" backgroundRefresh="0" connectionId="3" xr16:uid="{00000000-0016-0000-0500-000003000000}" autoFormatId="16" applyNumberFormats="0" applyBorderFormats="0" applyFontFormats="0" applyPatternFormats="0" applyAlignmentFormats="0" applyWidthHeightFormats="0">
  <queryTableRefresh nextId="6">
    <queryTableFields count="5">
      <queryTableField id="1" name="EmplList3" tableColumnId="1"/>
      <queryTableField id="2" name="EmplList3 Code" tableColumnId="2"/>
      <queryTableField id="3" name="Sort" tableColumnId="3"/>
      <queryTableField id="5" name="Item Type" tableColumnId="4"/>
      <queryTableField id="4" name="Pat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NearShore_1" backgroundRefresh="0" connectionId="8" xr16:uid="{00000000-0016-0000-0500-000004000000}" autoFormatId="16" applyNumberFormats="0" applyBorderFormats="0" applyFontFormats="0" applyPatternFormats="0" applyAlignmentFormats="0" applyWidthHeightFormats="0">
  <queryTableRefresh nextId="6">
    <queryTableFields count="5">
      <queryTableField id="1" name="NearShore" tableColumnId="1"/>
      <queryTableField id="2" name="NearShore Code" tableColumnId="2"/>
      <queryTableField id="3" name="Sort" tableColumnId="3"/>
      <queryTableField id="5" name="Item Type" tableColumnId="4"/>
      <queryTableField id="4" name="Pat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PG_1" backgroundRefresh="0" connectionId="1" xr16:uid="{00000000-0016-0000-0500-000005000000}" autoFormatId="16" applyNumberFormats="0" applyBorderFormats="0" applyFontFormats="0" applyPatternFormats="0" applyAlignmentFormats="0" applyWidthHeightFormats="0">
  <queryTableRefresh nextId="4">
    <queryTableFields count="3">
      <queryTableField id="1" name="CPG Segments" tableColumnId="1"/>
      <queryTableField id="3" name="Item Type" tableColumnId="2"/>
      <queryTableField id="2" name="Path"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High Tech_1" backgroundRefresh="0" connectionId="4" xr16:uid="{00000000-0016-0000-0500-000006000000}" autoFormatId="16" applyNumberFormats="0" applyBorderFormats="0" applyFontFormats="0" applyPatternFormats="0" applyAlignmentFormats="0" applyWidthHeightFormats="0">
  <queryTableRefresh nextId="4">
    <queryTableFields count="3">
      <queryTableField id="1" name="High Tech Segments" tableColumnId="1"/>
      <queryTableField id="3" name="Item Type" tableColumnId="2"/>
      <queryTableField id="2" name="Path"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Life Sciences_1" backgroundRefresh="0" connectionId="6" xr16:uid="{00000000-0016-0000-0500-000007000000}" autoFormatId="16" applyNumberFormats="0" applyBorderFormats="0" applyFontFormats="0" applyPatternFormats="0" applyAlignmentFormats="0" applyWidthHeightFormats="0">
  <queryTableRefresh nextId="4">
    <queryTableFields count="3">
      <queryTableField id="1" name="Life Sciences Segments" tableColumnId="1"/>
      <queryTableField id="3" name="Item Type" tableColumnId="2"/>
      <queryTableField id="2" name="Path"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Manufacturing_1" backgroundRefresh="0" connectionId="7" xr16:uid="{00000000-0016-0000-0500-000008000000}" autoFormatId="16" applyNumberFormats="0" applyBorderFormats="0" applyFontFormats="0" applyPatternFormats="0" applyAlignmentFormats="0" applyWidthHeightFormats="0">
  <queryTableRefresh nextId="4">
    <queryTableFields count="3">
      <queryTableField id="1" name="Manufacturing Segments" tableColumnId="1"/>
      <queryTableField id="3" name="Item Type" tableColumnId="2"/>
      <queryTableField id="2" name="Path"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Retail_1" backgroundRefresh="0" connectionId="12" xr16:uid="{00000000-0016-0000-0500-000009000000}" autoFormatId="16" applyNumberFormats="0" applyBorderFormats="0" applyFontFormats="0" applyPatternFormats="0" applyAlignmentFormats="0" applyWidthHeightFormats="0">
  <queryTableRefresh nextId="4">
    <queryTableFields count="3">
      <queryTableField id="1" name="Retail Segments" tableColumnId="1"/>
      <queryTableField id="3" name="Item Type" tableColumnId="2"/>
      <queryTableField id="2" name="Path"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Other_1" backgroundRefresh="0" connectionId="9" xr16:uid="{00000000-0016-0000-0500-00000A000000}" autoFormatId="16" applyNumberFormats="0" applyBorderFormats="0" applyFontFormats="0" applyPatternFormats="0" applyAlignmentFormats="0" applyWidthHeightFormats="0">
  <queryTableRefresh nextId="4">
    <queryTableFields count="3">
      <queryTableField id="1" name="Other Segments" tableColumnId="1"/>
      <queryTableField id="3" name="Item Type" tableColumnId="2"/>
      <queryTableField id="2" name="Path"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State or Country" backgroundRefresh="0" connectionId="14" xr16:uid="{00000000-0016-0000-0500-00000B000000}" autoFormatId="16" applyNumberFormats="0" applyBorderFormats="0" applyFontFormats="0" applyPatternFormats="0" applyAlignmentFormats="0" applyWidthHeightFormats="0">
  <queryTableRefresh nextId="4">
    <queryTableFields count="3">
      <queryTableField id="1" name="State or Country" tableColumnId="1"/>
      <queryTableField id="3" name="Item Type" tableColumnId="2"/>
      <queryTableField id="2" name="Path"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industry_1" backgroundRefresh="0" connectionId="5" xr16:uid="{00000000-0016-0000-0500-00000C000000}" autoFormatId="16" applyNumberFormats="0" applyBorderFormats="0" applyFontFormats="0" applyPatternFormats="0" applyAlignmentFormats="0" applyWidthHeightFormats="0">
  <queryTableRefresh nextId="4">
    <queryTableFields count="3">
      <queryTableField id="1" name="Industry" tableColumnId="1"/>
      <queryTableField id="3" name="Item Type" tableColumnId="2"/>
      <queryTableField id="2" name="Path"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Relationship_1" backgroundRefresh="0" connectionId="11" xr16:uid="{00000000-0016-0000-0500-00000D000000}" autoFormatId="16" applyNumberFormats="0" applyBorderFormats="0" applyFontFormats="0" applyPatternFormats="0" applyAlignmentFormats="0" applyWidthHeightFormats="0">
  <queryTableRefresh nextId="4">
    <queryTableFields count="3">
      <queryTableField id="1" name="Title" tableColumnId="1"/>
      <queryTableField id="3" name="Item Type" tableColumnId="2"/>
      <queryTableField id="2" name="Path"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SrMgrFellow" backgroundRefresh="0" connectionId="13" xr16:uid="{00000000-0016-0000-0500-00000E000000}" autoFormatId="16" applyNumberFormats="0" applyBorderFormats="0" applyFontFormats="0" applyPatternFormats="0" applyAlignmentFormats="0" applyWidthHeightFormats="0">
  <queryTableRefresh nextId="5">
    <queryTableFields count="4">
      <queryTableField id="1" name="SrMgr/Fellow" tableColumnId="1"/>
      <queryTableField id="3" name="Item Type" tableColumnId="2"/>
      <queryTableField id="2" name="Path" tableColumnId="3"/>
      <queryTableField id="4" name="sort"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DEPTLIST_1" displayName="Table_DEPTLIST_1" ref="A1:D27" tableType="queryTable" totalsRowShown="0" headerRowDxfId="78" dataDxfId="77">
  <autoFilter ref="A1:D27" xr:uid="{ED0F84C9-EC50-44CB-8376-D73BFFF73604}"/>
  <tableColumns count="4">
    <tableColumn id="1" xr3:uid="{00000000-0010-0000-0000-000001000000}" uniqueName="Title" name="DeptList" queryTableFieldId="1" dataDxfId="82"/>
    <tableColumn id="2" xr3:uid="{00000000-0010-0000-0000-000002000000}" uniqueName="FSObjType" name="Item Type" queryTableFieldId="3" dataDxfId="81"/>
    <tableColumn id="3" xr3:uid="{00000000-0010-0000-0000-000003000000}" uniqueName="FileDirRef" name="Path" queryTableFieldId="2" dataDxfId="80"/>
    <tableColumn id="4" xr3:uid="{00000000-0010-0000-0000-000004000000}" uniqueName="filter" name="filter" queryTableFieldId="4" dataDxfId="7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_Rates" displayName="Table_Rates" ref="R1:U48" tableType="queryTable" totalsRowShown="0" headerRowDxfId="72" dataDxfId="71">
  <autoFilter ref="R1:U48" xr:uid="{6D85B77F-C223-4518-B575-0425A453AA34}"/>
  <tableColumns count="4">
    <tableColumn id="1" xr3:uid="{00000000-0010-0000-0100-000001000000}" uniqueName="Title" name="Title" queryTableFieldId="1" dataDxfId="76"/>
    <tableColumn id="2" xr3:uid="{00000000-0010-0000-0100-000002000000}" uniqueName="StdRates" name="StdRates" queryTableFieldId="2" dataDxfId="75"/>
    <tableColumn id="3" xr3:uid="{00000000-0010-0000-0100-000003000000}" uniqueName="FSObjType" name="Item Type" queryTableFieldId="4" dataDxfId="74"/>
    <tableColumn id="4" xr3:uid="{00000000-0010-0000-0100-000004000000}" uniqueName="FileDirRef" name="Path" queryTableFieldId="3" dataDxfId="7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_SvcArea_1" displayName="Table_SvcArea_1" ref="W1:Z23" tableType="queryTable" totalsRowShown="0" headerRowDxfId="66" dataDxfId="65">
  <autoFilter ref="W1:Z23" xr:uid="{590BC351-3E61-4987-AD5E-0346559F090D}"/>
  <tableColumns count="4">
    <tableColumn id="1" xr3:uid="{00000000-0010-0000-0200-000001000000}" uniqueName="Title" name="SvcArea" queryTableFieldId="1" dataDxfId="70"/>
    <tableColumn id="2" xr3:uid="{00000000-0010-0000-0200-000002000000}" uniqueName="FSObjType" name="Item Type" queryTableFieldId="3" dataDxfId="69"/>
    <tableColumn id="3" xr3:uid="{00000000-0010-0000-0200-000003000000}" uniqueName="FileDirRef" name="Path" queryTableFieldId="2" dataDxfId="68"/>
    <tableColumn id="4" xr3:uid="{00000000-0010-0000-0200-000004000000}" uniqueName="_x005f_x0062_m46" name="Sort" queryTableFieldId="4" dataDxfId="6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_EmplList3_1" displayName="Table_EmplList3_1" ref="F1:J170" tableType="queryTable" totalsRowShown="0" headerRowDxfId="59" dataDxfId="58">
  <autoFilter ref="F1:J170" xr:uid="{1586D8DB-E6EC-4A30-967C-33916BD752C7}"/>
  <tableColumns count="5">
    <tableColumn id="1" xr3:uid="{00000000-0010-0000-0300-000001000000}" uniqueName="Title" name="EmplList3" queryTableFieldId="1" dataDxfId="64"/>
    <tableColumn id="2" xr3:uid="{00000000-0010-0000-0300-000002000000}" uniqueName="EmplList3_x005f_x0020_Code" name="EmplList3 Code" queryTableFieldId="2" dataDxfId="63"/>
    <tableColumn id="3" xr3:uid="{00000000-0010-0000-0300-000003000000}" uniqueName="_x005f_x0075_ey5" name="Sort" queryTableFieldId="3" dataDxfId="62"/>
    <tableColumn id="4" xr3:uid="{00000000-0010-0000-0300-000004000000}" uniqueName="FSObjType" name="Item Type" queryTableFieldId="5" dataDxfId="61"/>
    <tableColumn id="5" xr3:uid="{00000000-0010-0000-0300-000005000000}" uniqueName="FileDirRef" name="Path" queryTableFieldId="4" dataDxfId="6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le_NearShore_1" displayName="Table_NearShore_1" ref="L1:P71" tableType="queryTable" totalsRowShown="0" headerRowDxfId="52" dataDxfId="51">
  <autoFilter ref="L1:P71" xr:uid="{2219AFC6-7B31-4251-B5D9-C620A3848C69}"/>
  <tableColumns count="5">
    <tableColumn id="1" xr3:uid="{00000000-0010-0000-0400-000001000000}" uniqueName="Title" name="NearShore" queryTableFieldId="1" dataDxfId="57"/>
    <tableColumn id="2" xr3:uid="{00000000-0010-0000-0400-000002000000}" uniqueName="NearShore_x005f_x0020_Code" name="NearShore Code" queryTableFieldId="2" dataDxfId="56"/>
    <tableColumn id="3" xr3:uid="{00000000-0010-0000-0400-000003000000}" uniqueName="xwjv" name="Sort" queryTableFieldId="3" dataDxfId="55"/>
    <tableColumn id="4" xr3:uid="{00000000-0010-0000-0400-000004000000}" uniqueName="FSObjType" name="Item Type" queryTableFieldId="5" dataDxfId="54"/>
    <tableColumn id="5" xr3:uid="{00000000-0010-0000-0400-000005000000}" uniqueName="FileDirRef" name="Path" queryTableFieldId="4" dataDxfId="5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_CPG_1" displayName="Tabla_CPG_1" ref="AS1:AU6" tableType="queryTable" totalsRowShown="0" headerRowDxfId="47" dataDxfId="46">
  <autoFilter ref="AS1:AU6" xr:uid="{CABED553-956E-4AF4-9AE4-9266D5F90E4D}"/>
  <tableColumns count="3">
    <tableColumn id="1" xr3:uid="{00000000-0010-0000-0500-000001000000}" uniqueName="Title" name="CPG Segments" queryTableFieldId="1" dataDxfId="50"/>
    <tableColumn id="2" xr3:uid="{00000000-0010-0000-0500-000002000000}" uniqueName="FSObjType" name="Item Type" queryTableFieldId="3" dataDxfId="49"/>
    <tableColumn id="3" xr3:uid="{00000000-0010-0000-0500-000003000000}" uniqueName="FileDirRef" name="Path" queryTableFieldId="2" dataDxfId="4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_High_Tech_1" displayName="Tabla_High_Tech_1" ref="AW1:AY11" tableType="queryTable" totalsRowShown="0" headerRowDxfId="42" dataDxfId="41">
  <autoFilter ref="AW1:AY11" xr:uid="{E3998CBF-CF90-421D-8232-24D5D40CE402}"/>
  <tableColumns count="3">
    <tableColumn id="1" xr3:uid="{00000000-0010-0000-0600-000001000000}" uniqueName="Title" name="High Tech Segments" queryTableFieldId="1" dataDxfId="45"/>
    <tableColumn id="2" xr3:uid="{00000000-0010-0000-0600-000002000000}" uniqueName="FSObjType" name="Item Type" queryTableFieldId="3" dataDxfId="44"/>
    <tableColumn id="3" xr3:uid="{00000000-0010-0000-0600-000003000000}" uniqueName="FileDirRef" name="Path" queryTableFieldId="2" dataDxfId="4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_Life_Sciences_1" displayName="Tabla_Life_Sciences_1" ref="BA1:BC7" tableType="queryTable" totalsRowShown="0" headerRowDxfId="37" dataDxfId="36">
  <autoFilter ref="BA1:BC7" xr:uid="{9E36D4DD-7D24-4A04-860E-910584BCF330}"/>
  <tableColumns count="3">
    <tableColumn id="1" xr3:uid="{00000000-0010-0000-0700-000001000000}" uniqueName="Title" name="Life Sciences Segments" queryTableFieldId="1" dataDxfId="40"/>
    <tableColumn id="2" xr3:uid="{00000000-0010-0000-0700-000002000000}" uniqueName="FSObjType" name="Item Type" queryTableFieldId="3" dataDxfId="39"/>
    <tableColumn id="3" xr3:uid="{00000000-0010-0000-0700-000003000000}" uniqueName="FileDirRef" name="Path" queryTableFieldId="2" dataDxfId="38"/>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Industrial" displayName="Table_Industrial" ref="BE1:BG11" tableType="queryTable" totalsRowShown="0" headerRowDxfId="32" dataDxfId="31">
  <autoFilter ref="BE1:BG11" xr:uid="{36686A72-DA13-4C70-B4F8-1949FBD320CA}"/>
  <tableColumns count="3">
    <tableColumn id="1" xr3:uid="{00000000-0010-0000-0800-000001000000}" uniqueName="Title" name="Industrial Segments" queryTableFieldId="1" dataDxfId="35"/>
    <tableColumn id="2" xr3:uid="{00000000-0010-0000-0800-000002000000}" uniqueName="FSObjType" name="Item Type" queryTableFieldId="3" dataDxfId="34"/>
    <tableColumn id="3" xr3:uid="{00000000-0010-0000-0800-000003000000}" uniqueName="FileDirRef" name="Path" queryTableFieldId="2" dataDxfId="3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a_Retail_1" displayName="Tabla_Retail_1" ref="BI1:BK8" tableType="queryTable" totalsRowShown="0" headerRowDxfId="27" dataDxfId="26">
  <autoFilter ref="BI1:BK8" xr:uid="{AB4C3A62-F182-49CC-BF16-ED895FFD2392}"/>
  <tableColumns count="3">
    <tableColumn id="1" xr3:uid="{00000000-0010-0000-0900-000001000000}" uniqueName="Title" name="Retail Segments" queryTableFieldId="1" dataDxfId="30"/>
    <tableColumn id="2" xr3:uid="{00000000-0010-0000-0900-000002000000}" uniqueName="FSObjType" name="Item Type" queryTableFieldId="3" dataDxfId="29"/>
    <tableColumn id="3" xr3:uid="{00000000-0010-0000-0900-000003000000}" uniqueName="FileDirRef" name="Path" queryTableFieldId="2" dataDxfId="2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a_Other_1" displayName="Tabla_Other_1" ref="BM1:BO3" tableType="queryTable" totalsRowShown="0" headerRowDxfId="22" dataDxfId="21">
  <autoFilter ref="BM1:BO3" xr:uid="{FB224B5F-42E3-40A9-8BB1-CF4B0D64E97C}"/>
  <tableColumns count="3">
    <tableColumn id="1" xr3:uid="{00000000-0010-0000-0A00-000001000000}" uniqueName="Title" name="Other Segments" queryTableFieldId="1" dataDxfId="25"/>
    <tableColumn id="2" xr3:uid="{00000000-0010-0000-0A00-000002000000}" uniqueName="FSObjType" name="Item Type" queryTableFieldId="3" dataDxfId="24"/>
    <tableColumn id="3" xr3:uid="{00000000-0010-0000-0A00-000003000000}" uniqueName="FileDirRef" name="Path" queryTableFieldId="2" dataDxfId="2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a_State_or_Country" displayName="Tabla_State_or_Country" ref="AG1:AI77" tableType="queryTable" totalsRowShown="0" headerRowDxfId="17" dataDxfId="16">
  <autoFilter ref="AG1:AI77" xr:uid="{CEFB5A9D-8F27-4388-9E3E-1F1BBA214298}"/>
  <tableColumns count="3">
    <tableColumn id="1" xr3:uid="{00000000-0010-0000-0B00-000001000000}" uniqueName="Title" name="State or Country" queryTableFieldId="1" dataDxfId="20"/>
    <tableColumn id="2" xr3:uid="{00000000-0010-0000-0B00-000002000000}" uniqueName="FSObjType" name="Item Type" queryTableFieldId="3" dataDxfId="19"/>
    <tableColumn id="3" xr3:uid="{00000000-0010-0000-0B00-000003000000}" uniqueName="FileDirRef" name="Path" queryTableFieldId="2" dataDxfId="1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a_industry_1" displayName="Tabla_industry_1" ref="AO1:AQ7" tableType="queryTable" totalsRowShown="0" headerRowDxfId="12" dataDxfId="11">
  <autoFilter ref="AO1:AQ7" xr:uid="{54A753A3-076D-4B9E-A1B5-CB7BB24311AD}"/>
  <tableColumns count="3">
    <tableColumn id="1" xr3:uid="{00000000-0010-0000-0C00-000001000000}" uniqueName="Title" name="Industry" queryTableFieldId="1" dataDxfId="15"/>
    <tableColumn id="2" xr3:uid="{00000000-0010-0000-0C00-000002000000}" uniqueName="FSObjType" name="Item Type" queryTableFieldId="3" dataDxfId="14"/>
    <tableColumn id="3" xr3:uid="{00000000-0010-0000-0C00-000003000000}" uniqueName="FileDirRef" name="Path" queryTableFieldId="2" dataDxfId="1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a_Relationship_1" displayName="Tabla_Relationship_1" ref="AK1:AM17" tableType="queryTable" totalsRowShown="0" headerRowDxfId="7" dataDxfId="6">
  <autoFilter ref="AK1:AM17" xr:uid="{20BB9707-4C7D-4821-9FEA-956AA68410C8}"/>
  <tableColumns count="3">
    <tableColumn id="1" xr3:uid="{00000000-0010-0000-0D00-000001000000}" uniqueName="Title" name="Relationship" queryTableFieldId="1" dataDxfId="10"/>
    <tableColumn id="2" xr3:uid="{00000000-0010-0000-0D00-000002000000}" uniqueName="FSObjType" name="Item Type" queryTableFieldId="3" dataDxfId="9"/>
    <tableColumn id="3" xr3:uid="{00000000-0010-0000-0D00-000003000000}" uniqueName="FileDirRef" name="Path" queryTableFieldId="2" dataDxfId="8"/>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_SrMgrFellow" displayName="Table_SrMgrFellow" ref="BQ1:BT28" tableType="queryTable" totalsRowShown="0" headerRowDxfId="1" dataDxfId="0">
  <autoFilter ref="BQ1:BT28" xr:uid="{B2090CE6-1C17-45DA-9C9C-F596BDB26477}"/>
  <tableColumns count="4">
    <tableColumn id="1" xr3:uid="{00000000-0010-0000-0E00-000001000000}" uniqueName="Title" name="SrMgrFellow" queryTableFieldId="1" dataDxfId="5"/>
    <tableColumn id="2" xr3:uid="{00000000-0010-0000-0E00-000002000000}" uniqueName="FSObjType" name="Item Type" queryTableFieldId="3" dataDxfId="4"/>
    <tableColumn id="3" xr3:uid="{00000000-0010-0000-0E00-000003000000}" uniqueName="FileDirRef" name="Path" queryTableFieldId="2" dataDxfId="3"/>
    <tableColumn id="4" xr3:uid="{00000000-0010-0000-0E00-000004000000}" uniqueName="sort" name="sort" queryTableFieldId="4"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A1:AC54"/>
  <sheetViews>
    <sheetView showGridLines="0" zoomScale="90" zoomScaleNormal="90" zoomScalePageLayoutView="90" workbookViewId="0">
      <pane ySplit="1" topLeftCell="A2" activePane="bottomLeft" state="frozen"/>
      <selection pane="bottomLeft" activeCell="B42" sqref="B42"/>
    </sheetView>
  </sheetViews>
  <sheetFormatPr defaultColWidth="8.703125" defaultRowHeight="13" x14ac:dyDescent="0.45"/>
  <cols>
    <col min="1" max="1" width="30" style="5" customWidth="1"/>
    <col min="2" max="2" width="29.703125" style="4" customWidth="1"/>
    <col min="3" max="3" width="16.41015625" style="4" customWidth="1"/>
    <col min="4" max="4" width="15.703125" style="4" customWidth="1"/>
    <col min="5" max="5" width="29.703125" style="4" customWidth="1"/>
    <col min="6" max="6" width="0.87890625" style="4" customWidth="1"/>
    <col min="7" max="7" width="0" style="4" hidden="1" customWidth="1"/>
    <col min="8" max="8" width="12.1171875" style="4" hidden="1" customWidth="1"/>
    <col min="9" max="9" width="0" style="4" hidden="1" customWidth="1"/>
    <col min="10" max="10" width="8.703125" style="4"/>
    <col min="11" max="11" width="9.1171875" style="4" hidden="1" customWidth="1"/>
    <col min="12" max="13" width="8.703125" style="4"/>
    <col min="14" max="14" width="10.703125" style="4" customWidth="1"/>
    <col min="15" max="15" width="5.703125" style="4" customWidth="1"/>
    <col min="16" max="16" width="20" style="4" customWidth="1"/>
    <col min="17" max="16384" width="8.703125" style="4"/>
  </cols>
  <sheetData>
    <row r="1" spans="1:29" ht="18.350000000000001" thickBot="1" x14ac:dyDescent="0.65">
      <c r="A1" s="19" t="s">
        <v>40</v>
      </c>
      <c r="B1" s="6"/>
      <c r="C1" s="7"/>
      <c r="D1" s="52" t="s">
        <v>329</v>
      </c>
      <c r="E1" s="59">
        <v>42988</v>
      </c>
      <c r="F1" s="8"/>
      <c r="K1" s="4">
        <v>1</v>
      </c>
    </row>
    <row r="2" spans="1:29" ht="15" customHeight="1" x14ac:dyDescent="0.45">
      <c r="A2" s="9" t="s">
        <v>41</v>
      </c>
      <c r="B2" s="58">
        <v>43013</v>
      </c>
      <c r="C2" s="26"/>
      <c r="D2" s="26"/>
      <c r="E2" s="26"/>
      <c r="F2" s="40"/>
    </row>
    <row r="3" spans="1:29" ht="15" customHeight="1" x14ac:dyDescent="0.45">
      <c r="A3" s="10" t="s">
        <v>92</v>
      </c>
      <c r="B3" s="51" t="s">
        <v>682</v>
      </c>
      <c r="C3" s="41"/>
      <c r="D3" s="41"/>
      <c r="E3" s="26"/>
      <c r="F3" s="40"/>
    </row>
    <row r="4" spans="1:29" ht="15" customHeight="1" x14ac:dyDescent="0.45">
      <c r="A4" s="10" t="s">
        <v>42</v>
      </c>
      <c r="B4" s="51" t="s">
        <v>683</v>
      </c>
      <c r="C4" s="41"/>
      <c r="D4" s="41"/>
      <c r="E4" s="26"/>
      <c r="F4" s="40"/>
    </row>
    <row r="5" spans="1:29" ht="15" customHeight="1" x14ac:dyDescent="0.45">
      <c r="A5" s="10" t="s">
        <v>585</v>
      </c>
      <c r="B5" s="51" t="s">
        <v>684</v>
      </c>
      <c r="C5" s="41"/>
      <c r="D5" s="41"/>
      <c r="E5" s="26"/>
      <c r="F5" s="40"/>
    </row>
    <row r="6" spans="1:29" ht="15" customHeight="1" x14ac:dyDescent="0.45">
      <c r="A6" s="10" t="s">
        <v>587</v>
      </c>
      <c r="B6" s="51" t="s">
        <v>262</v>
      </c>
      <c r="C6" s="26"/>
      <c r="D6" s="26"/>
      <c r="E6" s="26"/>
      <c r="F6" s="40"/>
      <c r="O6" s="215" t="s">
        <v>313</v>
      </c>
      <c r="P6" s="215"/>
      <c r="Q6" s="215"/>
    </row>
    <row r="7" spans="1:29" ht="15" customHeight="1" thickBot="1" x14ac:dyDescent="0.5">
      <c r="A7" s="10" t="s">
        <v>579</v>
      </c>
      <c r="B7" s="51" t="s">
        <v>228</v>
      </c>
      <c r="C7" s="26"/>
      <c r="D7" s="26"/>
      <c r="E7" s="26"/>
      <c r="F7" s="40"/>
      <c r="P7" s="16">
        <v>42998.506238425929</v>
      </c>
    </row>
    <row r="8" spans="1:29" ht="15" customHeight="1" x14ac:dyDescent="0.45">
      <c r="A8" s="10" t="s">
        <v>342</v>
      </c>
      <c r="B8" s="51"/>
      <c r="C8" s="232" t="s">
        <v>578</v>
      </c>
      <c r="D8" s="233"/>
      <c r="E8" s="236" t="s">
        <v>159</v>
      </c>
      <c r="F8" s="237"/>
    </row>
    <row r="9" spans="1:29" ht="15" customHeight="1" x14ac:dyDescent="0.45">
      <c r="A9" s="10" t="s">
        <v>584</v>
      </c>
      <c r="B9" s="51"/>
      <c r="C9" s="234" t="s">
        <v>348</v>
      </c>
      <c r="D9" s="235"/>
      <c r="E9" s="238" t="s">
        <v>191</v>
      </c>
      <c r="F9" s="239"/>
      <c r="J9" s="16"/>
      <c r="K9" s="16"/>
      <c r="L9" s="16"/>
      <c r="M9" s="16"/>
      <c r="N9" s="16"/>
      <c r="O9" s="16"/>
      <c r="P9" s="16"/>
      <c r="Q9" s="16"/>
      <c r="R9" s="16"/>
      <c r="S9" s="16"/>
      <c r="T9" s="16"/>
      <c r="U9" s="16"/>
      <c r="V9" s="16"/>
      <c r="W9" s="16"/>
      <c r="X9" s="16"/>
      <c r="Y9" s="16"/>
      <c r="Z9" s="16"/>
      <c r="AA9" s="16"/>
      <c r="AB9" s="16"/>
      <c r="AC9" s="16"/>
    </row>
    <row r="10" spans="1:29" ht="15" customHeight="1" x14ac:dyDescent="0.45">
      <c r="A10" s="10" t="s">
        <v>583</v>
      </c>
      <c r="B10" s="51"/>
      <c r="C10" s="221" t="s">
        <v>577</v>
      </c>
      <c r="D10" s="222"/>
      <c r="E10" s="219" t="s">
        <v>540</v>
      </c>
      <c r="F10" s="220"/>
      <c r="J10" s="16"/>
      <c r="K10" s="16"/>
      <c r="L10" s="16"/>
      <c r="M10" s="16"/>
      <c r="N10" s="16"/>
      <c r="O10" s="16"/>
      <c r="P10" s="16"/>
      <c r="Q10" s="16"/>
      <c r="R10" s="16"/>
      <c r="S10" s="16"/>
      <c r="T10" s="16"/>
      <c r="U10" s="16"/>
      <c r="V10" s="16"/>
      <c r="W10" s="16"/>
      <c r="X10" s="16"/>
      <c r="Y10" s="16"/>
      <c r="Z10" s="16"/>
      <c r="AA10" s="16"/>
      <c r="AB10" s="16"/>
      <c r="AC10" s="16"/>
    </row>
    <row r="11" spans="1:29" ht="15" customHeight="1" thickBot="1" x14ac:dyDescent="0.5">
      <c r="A11" s="11" t="s">
        <v>586</v>
      </c>
      <c r="B11" s="66"/>
      <c r="C11" s="211" t="s">
        <v>457</v>
      </c>
      <c r="D11" s="212"/>
      <c r="E11" s="213" t="s">
        <v>188</v>
      </c>
      <c r="F11" s="214"/>
      <c r="J11" s="16"/>
      <c r="K11" s="16"/>
      <c r="L11" s="16"/>
      <c r="M11" s="16"/>
      <c r="N11" s="16"/>
      <c r="O11" s="16"/>
      <c r="P11" s="16"/>
      <c r="Q11" s="16"/>
      <c r="R11" s="16"/>
      <c r="S11" s="16"/>
      <c r="T11" s="16"/>
      <c r="U11" s="16"/>
      <c r="V11" s="16"/>
      <c r="W11" s="16"/>
      <c r="X11" s="16"/>
      <c r="Y11" s="16"/>
      <c r="Z11" s="16"/>
      <c r="AA11" s="16"/>
      <c r="AB11" s="16"/>
      <c r="AC11" s="16"/>
    </row>
    <row r="12" spans="1:29" s="23" customFormat="1" ht="15" customHeight="1" x14ac:dyDescent="0.45">
      <c r="A12" s="20"/>
      <c r="B12" s="21"/>
      <c r="C12" s="21"/>
      <c r="D12" s="21"/>
      <c r="E12" s="22"/>
      <c r="F12" s="22"/>
    </row>
    <row r="13" spans="1:29" s="16" customFormat="1" ht="18" customHeight="1" thickBot="1" x14ac:dyDescent="0.5">
      <c r="A13" s="223" t="s">
        <v>44</v>
      </c>
      <c r="B13" s="224"/>
      <c r="C13" s="224"/>
      <c r="D13" s="224"/>
      <c r="E13" s="224"/>
      <c r="F13" s="225"/>
    </row>
    <row r="14" spans="1:29" ht="38.25" customHeight="1" thickBot="1" x14ac:dyDescent="0.5">
      <c r="A14" s="226"/>
      <c r="B14" s="227"/>
      <c r="C14" s="227"/>
      <c r="D14" s="227"/>
      <c r="E14" s="227"/>
      <c r="F14" s="228"/>
      <c r="J14" s="16"/>
      <c r="K14" s="16"/>
      <c r="L14" s="16"/>
      <c r="M14" s="16"/>
      <c r="N14" s="16"/>
      <c r="O14" s="16"/>
      <c r="P14" s="16"/>
      <c r="Q14" s="16"/>
      <c r="R14" s="16"/>
      <c r="S14" s="16"/>
      <c r="T14" s="16"/>
      <c r="U14" s="16"/>
      <c r="V14" s="16"/>
      <c r="W14" s="16"/>
      <c r="X14" s="16"/>
      <c r="Y14" s="16"/>
      <c r="Z14" s="16"/>
      <c r="AA14" s="16"/>
      <c r="AB14" s="16"/>
      <c r="AC14" s="16"/>
    </row>
    <row r="15" spans="1:29" s="16" customFormat="1" ht="15.7" thickBot="1" x14ac:dyDescent="0.55000000000000004">
      <c r="A15" s="24"/>
      <c r="B15" s="25"/>
      <c r="C15" s="25"/>
      <c r="D15" s="25"/>
      <c r="E15" s="25"/>
      <c r="F15" s="25"/>
      <c r="G15" s="26"/>
    </row>
    <row r="16" spans="1:29" s="16" customFormat="1" ht="13.35" thickBot="1" x14ac:dyDescent="0.5">
      <c r="A16" s="229" t="s">
        <v>45</v>
      </c>
      <c r="B16" s="230"/>
      <c r="C16" s="230"/>
      <c r="D16" s="230"/>
      <c r="E16" s="230"/>
      <c r="F16" s="231"/>
    </row>
    <row r="17" spans="1:29" x14ac:dyDescent="0.45">
      <c r="A17" s="9" t="s">
        <v>593</v>
      </c>
      <c r="B17" s="208">
        <v>43017</v>
      </c>
      <c r="C17" s="209"/>
      <c r="D17" s="209"/>
      <c r="E17" s="209"/>
      <c r="F17" s="210"/>
      <c r="J17" s="16"/>
      <c r="K17" s="16"/>
      <c r="L17" s="16"/>
      <c r="M17" s="16"/>
      <c r="N17" s="16"/>
      <c r="O17" s="16"/>
      <c r="P17" s="16"/>
      <c r="Q17" s="16"/>
      <c r="R17" s="16"/>
      <c r="S17" s="16"/>
      <c r="T17" s="16"/>
      <c r="U17" s="16"/>
      <c r="V17" s="16"/>
      <c r="W17" s="16"/>
      <c r="X17" s="16"/>
      <c r="Y17" s="16"/>
      <c r="Z17" s="16"/>
      <c r="AA17" s="16"/>
      <c r="AB17" s="16"/>
      <c r="AC17" s="16"/>
    </row>
    <row r="18" spans="1:29" x14ac:dyDescent="0.45">
      <c r="A18" s="10" t="s">
        <v>594</v>
      </c>
      <c r="B18" s="208">
        <v>43133</v>
      </c>
      <c r="C18" s="209"/>
      <c r="D18" s="209"/>
      <c r="E18" s="209"/>
      <c r="F18" s="210"/>
      <c r="J18" s="16"/>
      <c r="K18" s="16"/>
      <c r="L18" s="16"/>
      <c r="M18" s="16"/>
      <c r="N18" s="16"/>
      <c r="O18" s="16"/>
      <c r="P18" s="16"/>
      <c r="Q18" s="16"/>
      <c r="R18" s="16"/>
      <c r="S18" s="16"/>
      <c r="T18" s="16"/>
      <c r="U18" s="16"/>
      <c r="V18" s="16"/>
      <c r="W18" s="16"/>
      <c r="X18" s="16"/>
      <c r="Y18" s="16"/>
      <c r="Z18" s="16"/>
      <c r="AA18" s="16"/>
      <c r="AB18" s="16"/>
      <c r="AC18" s="16"/>
    </row>
    <row r="19" spans="1:29" ht="13.35" thickBot="1" x14ac:dyDescent="0.5">
      <c r="A19" s="11" t="s">
        <v>46</v>
      </c>
      <c r="B19" s="246">
        <f>IF(B17="","",ROUNDUP(((B18-B17)/7),0))</f>
        <v>17</v>
      </c>
      <c r="C19" s="246"/>
      <c r="D19" s="246"/>
      <c r="E19" s="246"/>
      <c r="F19" s="247"/>
      <c r="J19" s="16"/>
      <c r="K19" s="16"/>
      <c r="L19" s="16"/>
      <c r="M19" s="16"/>
      <c r="N19" s="16"/>
      <c r="O19" s="16"/>
      <c r="P19" s="16"/>
      <c r="Q19" s="16"/>
      <c r="R19" s="16"/>
      <c r="S19" s="16"/>
      <c r="T19" s="16"/>
      <c r="U19" s="16"/>
      <c r="V19" s="16"/>
      <c r="W19" s="16"/>
      <c r="X19" s="16"/>
      <c r="Y19" s="16"/>
      <c r="Z19" s="16"/>
      <c r="AA19" s="16"/>
      <c r="AB19" s="16"/>
      <c r="AC19" s="16"/>
    </row>
    <row r="20" spans="1:29" s="16" customFormat="1" ht="13.35" thickBot="1" x14ac:dyDescent="0.5">
      <c r="A20" s="27"/>
      <c r="B20" s="26"/>
      <c r="C20" s="26"/>
      <c r="D20" s="26"/>
      <c r="E20" s="26"/>
      <c r="F20" s="26"/>
      <c r="G20" s="26"/>
      <c r="H20" s="28"/>
    </row>
    <row r="21" spans="1:29" s="16" customFormat="1" ht="13.35" thickBot="1" x14ac:dyDescent="0.5">
      <c r="A21" s="229" t="s">
        <v>47</v>
      </c>
      <c r="B21" s="230"/>
      <c r="C21" s="230"/>
      <c r="D21" s="230"/>
      <c r="E21" s="230"/>
      <c r="F21" s="231"/>
    </row>
    <row r="22" spans="1:29" x14ac:dyDescent="0.45">
      <c r="A22" s="9" t="s">
        <v>580</v>
      </c>
      <c r="B22" s="243" t="s">
        <v>288</v>
      </c>
      <c r="C22" s="244"/>
      <c r="D22" s="244"/>
      <c r="E22" s="244"/>
      <c r="F22" s="245"/>
      <c r="J22" s="16"/>
      <c r="K22" s="16"/>
      <c r="L22" s="16"/>
      <c r="M22" s="16"/>
      <c r="N22" s="16"/>
      <c r="O22" s="16"/>
      <c r="P22" s="16"/>
      <c r="Q22" s="16"/>
      <c r="R22" s="16"/>
      <c r="S22" s="16"/>
      <c r="T22" s="16"/>
      <c r="U22" s="16"/>
      <c r="V22" s="16"/>
      <c r="W22" s="16"/>
      <c r="X22" s="16"/>
      <c r="Y22" s="16"/>
      <c r="Z22" s="16"/>
      <c r="AA22" s="16"/>
      <c r="AB22" s="16"/>
      <c r="AC22" s="16"/>
    </row>
    <row r="23" spans="1:29" x14ac:dyDescent="0.45">
      <c r="A23" s="10" t="s">
        <v>48</v>
      </c>
      <c r="B23" s="248"/>
      <c r="C23" s="248"/>
      <c r="D23" s="248"/>
      <c r="E23" s="248"/>
      <c r="F23" s="239"/>
      <c r="J23" s="16"/>
      <c r="K23" s="16"/>
      <c r="L23" s="16"/>
      <c r="M23" s="16"/>
      <c r="N23" s="16"/>
      <c r="O23" s="16"/>
      <c r="P23" s="16"/>
      <c r="Q23" s="16"/>
      <c r="R23" s="16"/>
      <c r="S23" s="16"/>
      <c r="T23" s="16"/>
      <c r="U23" s="16"/>
      <c r="V23" s="16"/>
      <c r="W23" s="16"/>
      <c r="X23" s="16"/>
      <c r="Y23" s="16"/>
      <c r="Z23" s="16"/>
      <c r="AA23" s="16"/>
      <c r="AB23" s="16"/>
      <c r="AC23" s="16"/>
    </row>
    <row r="24" spans="1:29" s="16" customFormat="1" ht="13.35" thickBot="1" x14ac:dyDescent="0.5">
      <c r="A24" s="27"/>
      <c r="B24" s="26"/>
      <c r="C24" s="26"/>
      <c r="D24" s="26"/>
      <c r="E24" s="26"/>
      <c r="F24" s="26"/>
      <c r="G24" s="26"/>
    </row>
    <row r="25" spans="1:29" s="16" customFormat="1" ht="13.35" thickBot="1" x14ac:dyDescent="0.5">
      <c r="A25" s="229" t="s">
        <v>49</v>
      </c>
      <c r="B25" s="230"/>
      <c r="C25" s="230"/>
      <c r="D25" s="230"/>
      <c r="E25" s="230"/>
      <c r="F25" s="231"/>
    </row>
    <row r="26" spans="1:29" x14ac:dyDescent="0.45">
      <c r="A26" s="9" t="s">
        <v>50</v>
      </c>
      <c r="B26" s="29"/>
      <c r="C26" s="9" t="s">
        <v>289</v>
      </c>
      <c r="D26" s="252"/>
      <c r="E26" s="253"/>
      <c r="F26" s="254"/>
      <c r="J26" s="16"/>
      <c r="K26" s="16"/>
      <c r="L26" s="16"/>
      <c r="M26" s="16"/>
      <c r="N26" s="16"/>
      <c r="O26" s="16"/>
      <c r="P26" s="16"/>
      <c r="Q26" s="16"/>
      <c r="R26" s="16"/>
      <c r="S26" s="16"/>
      <c r="T26" s="16"/>
      <c r="U26" s="16"/>
      <c r="V26" s="16"/>
      <c r="W26" s="16"/>
      <c r="X26" s="16"/>
      <c r="Y26" s="16"/>
      <c r="Z26" s="16"/>
      <c r="AA26" s="16"/>
      <c r="AB26" s="16"/>
      <c r="AC26" s="16"/>
    </row>
    <row r="27" spans="1:29" x14ac:dyDescent="0.45">
      <c r="A27" s="216" t="s">
        <v>51</v>
      </c>
      <c r="B27" s="30"/>
      <c r="C27" s="12"/>
      <c r="D27" s="12"/>
      <c r="E27" s="12"/>
      <c r="F27" s="13"/>
      <c r="J27" s="16"/>
      <c r="K27" s="16"/>
      <c r="L27" s="16"/>
      <c r="M27" s="16"/>
      <c r="N27" s="16"/>
      <c r="O27" s="16"/>
      <c r="P27" s="16"/>
      <c r="Q27" s="16"/>
      <c r="R27" s="16"/>
      <c r="S27" s="16"/>
      <c r="T27" s="16"/>
      <c r="U27" s="16"/>
      <c r="V27" s="16"/>
      <c r="W27" s="16"/>
      <c r="X27" s="16"/>
      <c r="Y27" s="16"/>
      <c r="Z27" s="16"/>
      <c r="AA27" s="16"/>
      <c r="AB27" s="16"/>
      <c r="AC27" s="16"/>
    </row>
    <row r="28" spans="1:29" x14ac:dyDescent="0.45">
      <c r="A28" s="217"/>
      <c r="B28" s="31"/>
      <c r="C28" s="12"/>
      <c r="D28" s="12"/>
      <c r="E28" s="12"/>
      <c r="F28" s="13"/>
      <c r="J28" s="16"/>
      <c r="K28" s="16"/>
      <c r="L28" s="16"/>
      <c r="M28" s="16"/>
      <c r="N28" s="16"/>
      <c r="O28" s="16"/>
      <c r="P28" s="16"/>
      <c r="Q28" s="16"/>
      <c r="R28" s="16"/>
      <c r="S28" s="16"/>
      <c r="T28" s="16"/>
      <c r="U28" s="16"/>
      <c r="V28" s="16"/>
      <c r="W28" s="16"/>
      <c r="X28" s="16"/>
      <c r="Y28" s="16"/>
      <c r="Z28" s="16"/>
      <c r="AA28" s="16"/>
      <c r="AB28" s="16"/>
      <c r="AC28" s="16"/>
    </row>
    <row r="29" spans="1:29" x14ac:dyDescent="0.45">
      <c r="A29" s="218"/>
      <c r="B29" s="31"/>
      <c r="C29" s="12"/>
      <c r="D29" s="12"/>
      <c r="E29" s="12"/>
      <c r="F29" s="13"/>
      <c r="J29" s="16"/>
      <c r="K29" s="16"/>
      <c r="L29" s="16"/>
      <c r="M29" s="16"/>
      <c r="N29" s="16"/>
      <c r="O29" s="16"/>
      <c r="P29" s="16"/>
      <c r="Q29" s="16"/>
      <c r="R29" s="16"/>
      <c r="S29" s="16"/>
      <c r="T29" s="16"/>
      <c r="U29" s="16"/>
      <c r="V29" s="16"/>
      <c r="W29" s="16"/>
      <c r="X29" s="16"/>
      <c r="Y29" s="16"/>
      <c r="Z29" s="16"/>
      <c r="AA29" s="16"/>
      <c r="AB29" s="16"/>
      <c r="AC29" s="16"/>
    </row>
    <row r="30" spans="1:29" x14ac:dyDescent="0.45">
      <c r="A30" s="10" t="s">
        <v>52</v>
      </c>
      <c r="B30" s="249"/>
      <c r="C30" s="250"/>
      <c r="D30" s="250"/>
      <c r="E30" s="250"/>
      <c r="F30" s="251"/>
      <c r="J30" s="16"/>
      <c r="K30" s="16"/>
      <c r="L30" s="16"/>
      <c r="M30" s="16"/>
      <c r="N30" s="16"/>
      <c r="O30" s="16"/>
      <c r="P30" s="16"/>
      <c r="Q30" s="16"/>
      <c r="R30" s="16"/>
      <c r="S30" s="16"/>
      <c r="T30" s="16"/>
      <c r="U30" s="16"/>
      <c r="V30" s="16"/>
      <c r="W30" s="16"/>
      <c r="X30" s="16"/>
      <c r="Y30" s="16"/>
      <c r="Z30" s="16"/>
      <c r="AA30" s="16"/>
      <c r="AB30" s="16"/>
      <c r="AC30" s="16"/>
    </row>
    <row r="31" spans="1:29" x14ac:dyDescent="0.45">
      <c r="A31" s="10" t="s">
        <v>53</v>
      </c>
      <c r="B31" s="32"/>
      <c r="C31" s="14"/>
      <c r="D31" s="14"/>
      <c r="E31" s="14"/>
      <c r="F31" s="15"/>
      <c r="J31" s="16"/>
      <c r="K31" s="16"/>
      <c r="L31" s="16"/>
      <c r="M31" s="16"/>
      <c r="N31" s="16"/>
      <c r="O31" s="16"/>
      <c r="P31" s="16"/>
      <c r="Q31" s="16"/>
      <c r="R31" s="16"/>
      <c r="S31" s="16"/>
      <c r="T31" s="16"/>
      <c r="U31" s="16"/>
      <c r="V31" s="16"/>
      <c r="W31" s="16"/>
      <c r="X31" s="16"/>
      <c r="Y31" s="16"/>
      <c r="Z31" s="16"/>
      <c r="AA31" s="16"/>
      <c r="AB31" s="16"/>
      <c r="AC31" s="16"/>
    </row>
    <row r="32" spans="1:29" x14ac:dyDescent="0.45">
      <c r="A32" s="10" t="s">
        <v>54</v>
      </c>
      <c r="B32" s="31"/>
      <c r="C32" s="12"/>
      <c r="D32" s="12"/>
      <c r="E32" s="12"/>
      <c r="F32" s="13"/>
      <c r="J32" s="16"/>
      <c r="K32" s="16"/>
      <c r="L32" s="16"/>
      <c r="M32" s="16"/>
      <c r="N32" s="16"/>
      <c r="O32" s="16"/>
      <c r="P32" s="16"/>
      <c r="Q32" s="16"/>
      <c r="R32" s="16"/>
      <c r="S32" s="16"/>
      <c r="T32" s="16"/>
      <c r="U32" s="16"/>
      <c r="V32" s="16"/>
      <c r="W32" s="16"/>
      <c r="X32" s="16"/>
      <c r="Y32" s="16"/>
      <c r="Z32" s="16"/>
      <c r="AA32" s="16"/>
      <c r="AB32" s="16"/>
      <c r="AC32" s="16"/>
    </row>
    <row r="33" spans="1:29" ht="39" x14ac:dyDescent="0.45">
      <c r="A33" s="56" t="s">
        <v>581</v>
      </c>
      <c r="B33" s="243"/>
      <c r="C33" s="244"/>
      <c r="D33" s="244"/>
      <c r="E33" s="244"/>
      <c r="F33" s="245"/>
      <c r="J33" s="16"/>
      <c r="K33" s="16"/>
      <c r="L33" s="16"/>
      <c r="M33" s="16"/>
      <c r="N33" s="16"/>
      <c r="O33" s="16"/>
      <c r="P33" s="16"/>
      <c r="Q33" s="16"/>
      <c r="R33" s="16"/>
      <c r="S33" s="16"/>
      <c r="T33" s="16"/>
      <c r="U33" s="16"/>
      <c r="V33" s="16"/>
      <c r="W33" s="16"/>
      <c r="X33" s="16"/>
      <c r="Y33" s="16"/>
      <c r="Z33" s="16"/>
      <c r="AA33" s="16"/>
      <c r="AB33" s="16"/>
      <c r="AC33" s="16"/>
    </row>
    <row r="34" spans="1:29" ht="26.35" thickBot="1" x14ac:dyDescent="0.5">
      <c r="A34" s="55" t="s">
        <v>582</v>
      </c>
      <c r="B34" s="240"/>
      <c r="C34" s="241"/>
      <c r="D34" s="241"/>
      <c r="E34" s="241"/>
      <c r="F34" s="242"/>
      <c r="J34" s="16"/>
      <c r="K34" s="16"/>
      <c r="L34" s="16"/>
      <c r="M34" s="16"/>
      <c r="N34" s="16"/>
      <c r="O34" s="16"/>
      <c r="P34" s="16"/>
      <c r="Q34" s="16"/>
      <c r="R34" s="16"/>
      <c r="S34" s="16"/>
      <c r="T34" s="16"/>
      <c r="U34" s="16"/>
      <c r="V34" s="16"/>
      <c r="W34" s="16"/>
      <c r="X34" s="16"/>
      <c r="Y34" s="16"/>
      <c r="Z34" s="16"/>
      <c r="AA34" s="16"/>
      <c r="AB34" s="16"/>
      <c r="AC34" s="16"/>
    </row>
    <row r="35" spans="1:29" s="16" customFormat="1" x14ac:dyDescent="0.45">
      <c r="A35" s="17"/>
    </row>
    <row r="36" spans="1:29" s="16" customFormat="1" x14ac:dyDescent="0.45">
      <c r="A36" s="17"/>
    </row>
    <row r="37" spans="1:29" s="16" customFormat="1" x14ac:dyDescent="0.45">
      <c r="A37" s="17"/>
    </row>
    <row r="38" spans="1:29" s="16" customFormat="1" x14ac:dyDescent="0.45">
      <c r="A38" s="17"/>
    </row>
    <row r="39" spans="1:29" s="16" customFormat="1" x14ac:dyDescent="0.45">
      <c r="A39" s="17"/>
    </row>
    <row r="40" spans="1:29" ht="15" customHeight="1" x14ac:dyDescent="0.45">
      <c r="J40" s="16"/>
      <c r="K40" s="16"/>
      <c r="L40" s="16"/>
      <c r="M40" s="16"/>
      <c r="N40" s="16"/>
      <c r="O40" s="16"/>
      <c r="P40" s="16"/>
      <c r="Q40" s="16"/>
      <c r="R40" s="16"/>
      <c r="S40" s="16"/>
      <c r="T40" s="16"/>
      <c r="U40" s="16"/>
      <c r="V40" s="16"/>
      <c r="W40" s="16"/>
      <c r="X40" s="16"/>
      <c r="Y40" s="16"/>
      <c r="Z40" s="16"/>
      <c r="AA40" s="16"/>
      <c r="AB40" s="16"/>
      <c r="AC40" s="16"/>
    </row>
    <row r="41" spans="1:29" ht="27" customHeight="1" x14ac:dyDescent="0.45">
      <c r="J41" s="16"/>
      <c r="K41" s="16"/>
      <c r="L41" s="16"/>
      <c r="M41" s="16"/>
      <c r="N41" s="16"/>
      <c r="O41" s="16"/>
      <c r="P41" s="16"/>
      <c r="Q41" s="16"/>
      <c r="R41" s="16"/>
      <c r="S41" s="16"/>
      <c r="T41" s="16"/>
      <c r="U41" s="16"/>
      <c r="V41" s="16"/>
      <c r="W41" s="16"/>
      <c r="X41" s="16"/>
      <c r="Y41" s="16"/>
      <c r="Z41" s="16"/>
      <c r="AA41" s="16"/>
      <c r="AB41" s="16"/>
      <c r="AC41" s="16"/>
    </row>
    <row r="42" spans="1:29" ht="14.25" customHeight="1" x14ac:dyDescent="0.45">
      <c r="B42" s="57">
        <f>IF(B22="Time &amp; Materials",2,IF(B22="","",3))</f>
        <v>3</v>
      </c>
      <c r="E42" s="67" t="str">
        <f>IF(E8 ="", "No Service Selected",E8)</f>
        <v>PLM Implementation - PTC</v>
      </c>
      <c r="J42" s="16"/>
      <c r="K42" s="16"/>
      <c r="L42" s="16"/>
      <c r="M42" s="16"/>
      <c r="N42" s="16"/>
      <c r="O42" s="16"/>
      <c r="P42" s="16"/>
      <c r="Q42" s="16"/>
      <c r="R42" s="16"/>
      <c r="S42" s="16"/>
      <c r="T42" s="16"/>
      <c r="U42" s="16"/>
      <c r="V42" s="16"/>
      <c r="W42" s="16"/>
      <c r="X42" s="16"/>
      <c r="Y42" s="16"/>
      <c r="Z42" s="16"/>
      <c r="AA42" s="16"/>
      <c r="AB42" s="16"/>
      <c r="AC42" s="16"/>
    </row>
    <row r="43" spans="1:29" ht="36.75" customHeight="1" x14ac:dyDescent="0.45">
      <c r="J43" s="16"/>
      <c r="K43" s="16"/>
      <c r="L43" s="16"/>
      <c r="M43" s="16"/>
      <c r="N43" s="16"/>
      <c r="O43" s="16"/>
      <c r="P43" s="16"/>
      <c r="Q43" s="16"/>
      <c r="R43" s="16"/>
      <c r="S43" s="16"/>
      <c r="T43" s="16"/>
      <c r="U43" s="16"/>
      <c r="V43" s="16"/>
      <c r="W43" s="16"/>
      <c r="X43" s="16"/>
      <c r="Y43" s="16"/>
      <c r="Z43" s="16"/>
      <c r="AA43" s="16"/>
      <c r="AB43" s="16"/>
      <c r="AC43" s="16"/>
    </row>
    <row r="44" spans="1:29" ht="15" customHeight="1" x14ac:dyDescent="0.45">
      <c r="J44" s="16"/>
      <c r="K44" s="16"/>
      <c r="L44" s="16"/>
      <c r="M44" s="16"/>
      <c r="N44" s="16"/>
      <c r="O44" s="16"/>
      <c r="P44" s="16"/>
      <c r="Q44" s="16"/>
      <c r="R44" s="16"/>
      <c r="S44" s="16"/>
      <c r="T44" s="16"/>
      <c r="U44" s="16"/>
      <c r="V44" s="16"/>
      <c r="W44" s="16"/>
      <c r="X44" s="16"/>
      <c r="Y44" s="16"/>
      <c r="Z44" s="16"/>
      <c r="AA44" s="16"/>
      <c r="AB44" s="16"/>
      <c r="AC44" s="16"/>
    </row>
    <row r="45" spans="1:29" s="16" customFormat="1" x14ac:dyDescent="0.45">
      <c r="A45" s="17"/>
    </row>
    <row r="46" spans="1:29" s="16" customFormat="1" x14ac:dyDescent="0.45">
      <c r="A46" s="17"/>
    </row>
    <row r="47" spans="1:29" s="16" customFormat="1" x14ac:dyDescent="0.45">
      <c r="A47" s="17"/>
    </row>
    <row r="48" spans="1:29" s="16" customFormat="1" x14ac:dyDescent="0.45">
      <c r="A48" s="17"/>
    </row>
    <row r="49" spans="1:1" s="16" customFormat="1" x14ac:dyDescent="0.45">
      <c r="A49" s="17"/>
    </row>
    <row r="50" spans="1:1" s="16" customFormat="1" x14ac:dyDescent="0.45">
      <c r="A50" s="17"/>
    </row>
    <row r="51" spans="1:1" s="16" customFormat="1" x14ac:dyDescent="0.45">
      <c r="A51" s="17"/>
    </row>
    <row r="52" spans="1:1" s="16" customFormat="1" x14ac:dyDescent="0.45">
      <c r="A52" s="17"/>
    </row>
    <row r="53" spans="1:1" s="16" customFormat="1" x14ac:dyDescent="0.45">
      <c r="A53" s="17"/>
    </row>
    <row r="54" spans="1:1" s="16" customFormat="1" x14ac:dyDescent="0.45">
      <c r="A54" s="17"/>
    </row>
  </sheetData>
  <sheetProtection algorithmName="SHA-512" hashValue="Jad7GzmEnyz7JSRC1y9ffUlehTKPpEMyg46FMpgSf1fFF1o4kx+p5untXF8RgijRsTl/JFMIKn1XuQ2AUjdw1g==" saltValue="EhwgvmEkAgtxjzP73OI/og==" spinCount="100000" sheet="1" objects="1" scenarios="1" selectLockedCells="1"/>
  <dataConsolidate/>
  <mergeCells count="24">
    <mergeCell ref="B34:F34"/>
    <mergeCell ref="B22:F22"/>
    <mergeCell ref="B19:F19"/>
    <mergeCell ref="A25:F25"/>
    <mergeCell ref="B23:F23"/>
    <mergeCell ref="A21:F21"/>
    <mergeCell ref="B30:F30"/>
    <mergeCell ref="D26:F26"/>
    <mergeCell ref="B33:F33"/>
    <mergeCell ref="B17:F17"/>
    <mergeCell ref="C11:D11"/>
    <mergeCell ref="E11:F11"/>
    <mergeCell ref="O6:Q6"/>
    <mergeCell ref="A27:A29"/>
    <mergeCell ref="B18:F18"/>
    <mergeCell ref="E10:F10"/>
    <mergeCell ref="C10:D10"/>
    <mergeCell ref="A13:F13"/>
    <mergeCell ref="A14:F14"/>
    <mergeCell ref="A16:F16"/>
    <mergeCell ref="C8:D8"/>
    <mergeCell ref="C9:D9"/>
    <mergeCell ref="E8:F8"/>
    <mergeCell ref="E9:F9"/>
  </mergeCells>
  <phoneticPr fontId="2" type="noConversion"/>
  <conditionalFormatting sqref="B19:F19">
    <cfRule type="cellIs" dxfId="92" priority="2" stopIfTrue="1" operator="lessThan">
      <formula>0</formula>
    </cfRule>
  </conditionalFormatting>
  <conditionalFormatting sqref="B18:F18">
    <cfRule type="cellIs" dxfId="91" priority="1" stopIfTrue="1" operator="lessThan">
      <formula>$B$17</formula>
    </cfRule>
  </conditionalFormatting>
  <dataValidations count="12">
    <dataValidation type="date" operator="greaterThan" allowBlank="1" showInputMessage="1" showErrorMessage="1" error="Please enter a valid date, and a date not before the planned start date. " sqref="B18:F18" xr:uid="{00000000-0002-0000-0000-000000000000}">
      <formula1>B17</formula1>
    </dataValidation>
    <dataValidation type="list" allowBlank="1" showInputMessage="1" showErrorMessage="1" sqref="B33:F33" xr:uid="{00000000-0002-0000-0000-000001000000}">
      <formula1>States</formula1>
    </dataValidation>
    <dataValidation type="list" allowBlank="1" showInputMessage="1" showErrorMessage="1" sqref="B11" xr:uid="{00000000-0002-0000-0000-000002000000}">
      <formula1>EmplList3</formula1>
    </dataValidation>
    <dataValidation type="list" allowBlank="1" showInputMessage="1" showErrorMessage="1" error="Please select from the Partner list. " sqref="B6:B8" xr:uid="{00000000-0002-0000-0000-000003000000}">
      <formula1>DeptList</formula1>
    </dataValidation>
    <dataValidation type="list" allowBlank="1" showInputMessage="1" showErrorMessage="1" sqref="B22:F22" xr:uid="{00000000-0002-0000-0000-000004000000}">
      <formula1>ContractType</formula1>
    </dataValidation>
    <dataValidation type="date" allowBlank="1" showInputMessage="1" showErrorMessage="1" error="Please enter a valid date." sqref="B2" xr:uid="{00000000-0002-0000-0000-000005000000}">
      <formula1>38718</formula1>
      <formula2>73051</formula2>
    </dataValidation>
    <dataValidation type="date" allowBlank="1" showInputMessage="1" showErrorMessage="1" error="Please enter a valid date. " sqref="B17:F17" xr:uid="{00000000-0002-0000-0000-000006000000}">
      <formula1>38718</formula1>
      <formula2>109574</formula2>
    </dataValidation>
    <dataValidation type="list" allowBlank="1" showInputMessage="1" showErrorMessage="1" sqref="E9" xr:uid="{00000000-0002-0000-0000-000007000000}">
      <formula1>Relationship</formula1>
    </dataValidation>
    <dataValidation type="list" allowBlank="1" showInputMessage="1" showErrorMessage="1" sqref="E10:F10" xr:uid="{00000000-0002-0000-0000-000008000000}">
      <formula1>Industry</formula1>
    </dataValidation>
    <dataValidation type="list" allowBlank="1" showInputMessage="1" showErrorMessage="1" sqref="E11:F11" xr:uid="{00000000-0002-0000-0000-000009000000}">
      <formula1>INDIRECT($E$10)</formula1>
    </dataValidation>
    <dataValidation type="list" allowBlank="1" showInputMessage="1" showErrorMessage="1" sqref="E8" xr:uid="{00000000-0002-0000-0000-00000A000000}">
      <formula1>SvcArea</formula1>
    </dataValidation>
    <dataValidation type="list" allowBlank="1" showInputMessage="1" showErrorMessage="1" sqref="B9 B10" xr:uid="{00000000-0002-0000-0000-00000B000000}">
      <formula1>SrMgrFellow</formula1>
    </dataValidation>
  </dataValidations>
  <pageMargins left="0.75" right="0.75" top="1" bottom="1" header="0.5" footer="0.5"/>
  <pageSetup scale="82"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93" r:id="rId4" name="Button 45">
              <controlPr defaultSize="0" print="0" autoFill="0" autoPict="0" macro="[0]!StartNow">
                <anchor>
                  <from>
                    <xdr:col>1</xdr:col>
                    <xdr:colOff>287867</xdr:colOff>
                    <xdr:row>36</xdr:row>
                    <xdr:rowOff>84667</xdr:rowOff>
                  </from>
                  <to>
                    <xdr:col>2</xdr:col>
                    <xdr:colOff>783167</xdr:colOff>
                    <xdr:row>37</xdr:row>
                    <xdr:rowOff>84667</xdr:rowOff>
                  </to>
                </anchor>
              </controlPr>
            </control>
          </mc:Choice>
        </mc:AlternateContent>
        <mc:AlternateContent xmlns:mc="http://schemas.openxmlformats.org/markup-compatibility/2006">
          <mc:Choice Requires="x14">
            <control shapeId="2096" r:id="rId5" name="Button 48">
              <controlPr defaultSize="0" print="0" autoFill="0" autoPict="0" macro="[0]!Sheet1.Refresh">
                <anchor moveWithCells="1">
                  <from>
                    <xdr:col>11</xdr:col>
                    <xdr:colOff>59267</xdr:colOff>
                    <xdr:row>3</xdr:row>
                    <xdr:rowOff>59267</xdr:rowOff>
                  </from>
                  <to>
                    <xdr:col>13</xdr:col>
                    <xdr:colOff>630767</xdr:colOff>
                    <xdr:row>8</xdr:row>
                    <xdr:rowOff>135467</xdr:rowOff>
                  </to>
                </anchor>
              </controlPr>
            </control>
          </mc:Choice>
        </mc:AlternateContent>
        <mc:AlternateContent xmlns:mc="http://schemas.openxmlformats.org/markup-compatibility/2006">
          <mc:Choice Requires="x14">
            <control shapeId="2107" r:id="rId6" name="Button 59">
              <controlPr defaultSize="0" print="0" autoFill="0" autoPict="0" macro="[0]!BudgetOnly">
                <anchor moveWithCells="1" sizeWithCells="1">
                  <from>
                    <xdr:col>1</xdr:col>
                    <xdr:colOff>266700</xdr:colOff>
                    <xdr:row>38</xdr:row>
                    <xdr:rowOff>67733</xdr:rowOff>
                  </from>
                  <to>
                    <xdr:col>2</xdr:col>
                    <xdr:colOff>800100</xdr:colOff>
                    <xdr:row>39</xdr:row>
                    <xdr:rowOff>84667</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K77"/>
  <sheetViews>
    <sheetView showGridLines="0" zoomScale="85" zoomScaleNormal="85" zoomScalePageLayoutView="80" workbookViewId="0">
      <pane xSplit="4" ySplit="7" topLeftCell="E8" activePane="bottomRight" state="frozen"/>
      <selection pane="topRight" activeCell="D1" sqref="D1"/>
      <selection pane="bottomLeft" activeCell="A7" sqref="A7"/>
      <selection pane="bottomRight" activeCell="C11" sqref="C11"/>
    </sheetView>
  </sheetViews>
  <sheetFormatPr defaultColWidth="8.703125" defaultRowHeight="13" x14ac:dyDescent="0.45"/>
  <cols>
    <col min="1" max="3" width="20.703125" style="74" customWidth="1"/>
    <col min="4" max="4" width="16.29296875" style="74" customWidth="1"/>
    <col min="5" max="5" width="12.29296875" style="74" customWidth="1"/>
    <col min="6" max="6" width="12.703125" style="74" customWidth="1"/>
    <col min="7" max="7" width="14" style="74" customWidth="1"/>
    <col min="8" max="8" width="12.703125" style="74" customWidth="1"/>
    <col min="9" max="9" width="20.703125" style="74" customWidth="1"/>
    <col min="10" max="10" width="14.29296875" style="74" customWidth="1"/>
    <col min="11" max="11" width="14.41015625" style="74" customWidth="1"/>
    <col min="12" max="12" width="12.703125" style="74" customWidth="1"/>
    <col min="13" max="14" width="12.703125" style="74" bestFit="1" customWidth="1"/>
    <col min="15" max="15" width="12.703125" style="74" customWidth="1"/>
    <col min="16" max="22" width="12.703125" style="74" bestFit="1" customWidth="1"/>
    <col min="23" max="24" width="9.703125" style="74" bestFit="1" customWidth="1"/>
    <col min="25" max="44" width="12.703125" style="74" bestFit="1" customWidth="1"/>
    <col min="45" max="45" width="12.703125" style="74" customWidth="1"/>
    <col min="46" max="64" width="10.703125" style="74" bestFit="1" customWidth="1"/>
    <col min="65" max="16384" width="8.703125" style="74"/>
  </cols>
  <sheetData>
    <row r="1" spans="1:82" s="76" customFormat="1" ht="13.35" thickBot="1" x14ac:dyDescent="0.5">
      <c r="J1" s="84"/>
      <c r="K1" s="84"/>
      <c r="L1" s="84">
        <v>2</v>
      </c>
      <c r="M1" s="151"/>
      <c r="N1" s="151"/>
      <c r="O1" s="151"/>
      <c r="P1" s="151"/>
      <c r="Q1" s="151"/>
      <c r="R1" s="151"/>
      <c r="S1" s="151"/>
    </row>
    <row r="2" spans="1:82" s="76" customFormat="1" ht="15.7" thickBot="1" x14ac:dyDescent="0.55000000000000004">
      <c r="A2" s="275" t="s">
        <v>39</v>
      </c>
      <c r="B2" s="276"/>
      <c r="C2" s="276"/>
      <c r="D2" s="152">
        <f>IF((I32=0),0,(J32+H47)/(I32))</f>
        <v>0</v>
      </c>
      <c r="F2" s="275" t="s">
        <v>175</v>
      </c>
      <c r="G2" s="276"/>
      <c r="H2" s="153">
        <f>IF(J61=0,,(J61-I61)/J61)</f>
        <v>0</v>
      </c>
      <c r="J2" s="257" t="s">
        <v>281</v>
      </c>
      <c r="K2" s="257"/>
      <c r="L2" s="154"/>
      <c r="M2" s="155"/>
      <c r="N2" s="49" t="b">
        <v>0</v>
      </c>
      <c r="O2" s="50">
        <f>IF(N2=TRUE,Data!AE3,Data!AE2)</f>
        <v>1</v>
      </c>
      <c r="P2" s="151"/>
      <c r="Q2" s="151"/>
      <c r="R2" s="156"/>
      <c r="S2" s="151"/>
    </row>
    <row r="3" spans="1:82" s="76" customFormat="1" ht="21.75" customHeight="1" thickBot="1" x14ac:dyDescent="0.55000000000000004">
      <c r="A3" s="275" t="s">
        <v>89</v>
      </c>
      <c r="B3" s="276"/>
      <c r="C3" s="276"/>
      <c r="D3" s="157">
        <f>J63</f>
        <v>0</v>
      </c>
      <c r="J3" s="258" t="s">
        <v>280</v>
      </c>
      <c r="K3" s="258"/>
      <c r="L3" s="158"/>
      <c r="R3" s="85">
        <v>1</v>
      </c>
      <c r="S3" s="85">
        <v>2</v>
      </c>
      <c r="T3" s="85">
        <v>3</v>
      </c>
      <c r="U3" s="86">
        <v>4</v>
      </c>
      <c r="V3" s="86">
        <v>5</v>
      </c>
      <c r="W3" s="85">
        <v>6</v>
      </c>
      <c r="X3" s="85">
        <v>7</v>
      </c>
      <c r="Y3" s="87">
        <v>0.5</v>
      </c>
      <c r="Z3" s="87">
        <v>1.5</v>
      </c>
      <c r="AA3" s="87">
        <v>2.5</v>
      </c>
      <c r="AB3" s="87">
        <v>3.5</v>
      </c>
      <c r="AC3" s="87">
        <v>4.5</v>
      </c>
      <c r="AD3" s="87">
        <v>5.5</v>
      </c>
      <c r="AE3" s="87">
        <v>6.5</v>
      </c>
    </row>
    <row r="4" spans="1:82" s="76" customFormat="1" ht="21.75" customHeight="1" x14ac:dyDescent="0.5">
      <c r="A4" s="159"/>
      <c r="B4" s="159"/>
      <c r="C4" s="159"/>
      <c r="D4" s="160"/>
      <c r="F4" s="97" t="s">
        <v>358</v>
      </c>
      <c r="G4" s="98" t="str">
        <f>IF(L63&lt;&gt;0,J63/L63," ")</f>
        <v xml:space="preserve"> </v>
      </c>
      <c r="H4" s="255"/>
      <c r="I4" s="255"/>
      <c r="J4" s="255"/>
      <c r="K4" s="255"/>
      <c r="L4" s="255"/>
      <c r="M4" s="266" t="s">
        <v>270</v>
      </c>
      <c r="N4" s="266"/>
      <c r="O4" s="266"/>
      <c r="P4" s="266"/>
      <c r="Q4" s="266"/>
      <c r="R4" s="266"/>
      <c r="S4" s="266"/>
      <c r="T4" s="266"/>
      <c r="U4" s="266"/>
      <c r="V4" s="266"/>
      <c r="W4" s="266"/>
      <c r="X4" s="266"/>
    </row>
    <row r="5" spans="1:82" s="76" customFormat="1" ht="15.7" thickBot="1" x14ac:dyDescent="0.55000000000000004">
      <c r="F5" s="97" t="s">
        <v>283</v>
      </c>
      <c r="G5" s="98" t="str">
        <f>IF(L32&lt;&gt;0,J32/(L32*9)," ")</f>
        <v xml:space="preserve"> </v>
      </c>
      <c r="H5" s="256"/>
      <c r="I5" s="256"/>
      <c r="J5" s="256"/>
      <c r="K5" s="256"/>
      <c r="L5" s="256"/>
      <c r="M5" s="100">
        <f>FrontPage!B17</f>
        <v>43017</v>
      </c>
      <c r="N5" s="100">
        <f t="shared" ref="N5:X5" si="0">(M5+7)</f>
        <v>43024</v>
      </c>
      <c r="O5" s="100">
        <f t="shared" si="0"/>
        <v>43031</v>
      </c>
      <c r="P5" s="100">
        <f t="shared" si="0"/>
        <v>43038</v>
      </c>
      <c r="Q5" s="100">
        <f t="shared" si="0"/>
        <v>43045</v>
      </c>
      <c r="R5" s="100">
        <f t="shared" si="0"/>
        <v>43052</v>
      </c>
      <c r="S5" s="100">
        <f t="shared" si="0"/>
        <v>43059</v>
      </c>
      <c r="T5" s="100">
        <f t="shared" si="0"/>
        <v>43066</v>
      </c>
      <c r="U5" s="100">
        <f t="shared" si="0"/>
        <v>43073</v>
      </c>
      <c r="V5" s="100">
        <f t="shared" si="0"/>
        <v>43080</v>
      </c>
      <c r="W5" s="100">
        <f t="shared" si="0"/>
        <v>43087</v>
      </c>
      <c r="X5" s="100">
        <f t="shared" si="0"/>
        <v>43094</v>
      </c>
      <c r="Y5" s="100">
        <f t="shared" ref="Y5:BL5" si="1">(X5+7)</f>
        <v>43101</v>
      </c>
      <c r="Z5" s="100">
        <f t="shared" si="1"/>
        <v>43108</v>
      </c>
      <c r="AA5" s="100">
        <f t="shared" si="1"/>
        <v>43115</v>
      </c>
      <c r="AB5" s="100">
        <f t="shared" si="1"/>
        <v>43122</v>
      </c>
      <c r="AC5" s="100">
        <f t="shared" si="1"/>
        <v>43129</v>
      </c>
      <c r="AD5" s="100">
        <f t="shared" si="1"/>
        <v>43136</v>
      </c>
      <c r="AE5" s="100">
        <f t="shared" si="1"/>
        <v>43143</v>
      </c>
      <c r="AF5" s="100">
        <f t="shared" si="1"/>
        <v>43150</v>
      </c>
      <c r="AG5" s="100">
        <f t="shared" si="1"/>
        <v>43157</v>
      </c>
      <c r="AH5" s="100">
        <f t="shared" si="1"/>
        <v>43164</v>
      </c>
      <c r="AI5" s="100">
        <f t="shared" si="1"/>
        <v>43171</v>
      </c>
      <c r="AJ5" s="100">
        <f t="shared" si="1"/>
        <v>43178</v>
      </c>
      <c r="AK5" s="100">
        <f t="shared" si="1"/>
        <v>43185</v>
      </c>
      <c r="AL5" s="100">
        <f t="shared" si="1"/>
        <v>43192</v>
      </c>
      <c r="AM5" s="100">
        <f t="shared" si="1"/>
        <v>43199</v>
      </c>
      <c r="AN5" s="100">
        <f t="shared" si="1"/>
        <v>43206</v>
      </c>
      <c r="AO5" s="100">
        <f t="shared" si="1"/>
        <v>43213</v>
      </c>
      <c r="AP5" s="100">
        <f t="shared" si="1"/>
        <v>43220</v>
      </c>
      <c r="AQ5" s="100">
        <f t="shared" si="1"/>
        <v>43227</v>
      </c>
      <c r="AR5" s="100">
        <f t="shared" si="1"/>
        <v>43234</v>
      </c>
      <c r="AS5" s="100">
        <f t="shared" si="1"/>
        <v>43241</v>
      </c>
      <c r="AT5" s="100">
        <f t="shared" si="1"/>
        <v>43248</v>
      </c>
      <c r="AU5" s="100">
        <f t="shared" si="1"/>
        <v>43255</v>
      </c>
      <c r="AV5" s="100">
        <f t="shared" si="1"/>
        <v>43262</v>
      </c>
      <c r="AW5" s="100">
        <f t="shared" si="1"/>
        <v>43269</v>
      </c>
      <c r="AX5" s="100">
        <f t="shared" si="1"/>
        <v>43276</v>
      </c>
      <c r="AY5" s="100">
        <f t="shared" si="1"/>
        <v>43283</v>
      </c>
      <c r="AZ5" s="100">
        <f t="shared" si="1"/>
        <v>43290</v>
      </c>
      <c r="BA5" s="100">
        <f t="shared" si="1"/>
        <v>43297</v>
      </c>
      <c r="BB5" s="100">
        <f t="shared" si="1"/>
        <v>43304</v>
      </c>
      <c r="BC5" s="100">
        <f t="shared" si="1"/>
        <v>43311</v>
      </c>
      <c r="BD5" s="100">
        <f t="shared" si="1"/>
        <v>43318</v>
      </c>
      <c r="BE5" s="100">
        <f t="shared" si="1"/>
        <v>43325</v>
      </c>
      <c r="BF5" s="100">
        <f t="shared" si="1"/>
        <v>43332</v>
      </c>
      <c r="BG5" s="100">
        <f t="shared" si="1"/>
        <v>43339</v>
      </c>
      <c r="BH5" s="100">
        <f t="shared" si="1"/>
        <v>43346</v>
      </c>
      <c r="BI5" s="100">
        <f t="shared" si="1"/>
        <v>43353</v>
      </c>
      <c r="BJ5" s="100">
        <f t="shared" si="1"/>
        <v>43360</v>
      </c>
      <c r="BK5" s="100">
        <f t="shared" si="1"/>
        <v>43367</v>
      </c>
      <c r="BL5" s="100">
        <f t="shared" si="1"/>
        <v>43374</v>
      </c>
      <c r="BM5" s="100">
        <f t="shared" ref="BM5:CD5" si="2">(BL5+7)</f>
        <v>43381</v>
      </c>
      <c r="BN5" s="100">
        <f t="shared" si="2"/>
        <v>43388</v>
      </c>
      <c r="BO5" s="100">
        <f t="shared" si="2"/>
        <v>43395</v>
      </c>
      <c r="BP5" s="100">
        <f t="shared" si="2"/>
        <v>43402</v>
      </c>
      <c r="BQ5" s="100">
        <f t="shared" si="2"/>
        <v>43409</v>
      </c>
      <c r="BR5" s="100">
        <f t="shared" si="2"/>
        <v>43416</v>
      </c>
      <c r="BS5" s="100">
        <f t="shared" si="2"/>
        <v>43423</v>
      </c>
      <c r="BT5" s="100">
        <f t="shared" si="2"/>
        <v>43430</v>
      </c>
      <c r="BU5" s="100">
        <f t="shared" si="2"/>
        <v>43437</v>
      </c>
      <c r="BV5" s="100">
        <f t="shared" si="2"/>
        <v>43444</v>
      </c>
      <c r="BW5" s="100">
        <f t="shared" si="2"/>
        <v>43451</v>
      </c>
      <c r="BX5" s="100">
        <f t="shared" si="2"/>
        <v>43458</v>
      </c>
      <c r="BY5" s="100">
        <f t="shared" si="2"/>
        <v>43465</v>
      </c>
      <c r="BZ5" s="100">
        <f t="shared" si="2"/>
        <v>43472</v>
      </c>
      <c r="CA5" s="100">
        <f t="shared" si="2"/>
        <v>43479</v>
      </c>
      <c r="CB5" s="100">
        <f t="shared" si="2"/>
        <v>43486</v>
      </c>
      <c r="CC5" s="100">
        <f t="shared" si="2"/>
        <v>43493</v>
      </c>
      <c r="CD5" s="100">
        <f t="shared" si="2"/>
        <v>43500</v>
      </c>
    </row>
    <row r="6" spans="1:82" s="101" customFormat="1" ht="15" customHeight="1" x14ac:dyDescent="0.45">
      <c r="A6" s="279" t="s">
        <v>477</v>
      </c>
      <c r="B6" s="261" t="s">
        <v>542</v>
      </c>
      <c r="C6" s="261" t="s">
        <v>476</v>
      </c>
      <c r="D6" s="261" t="s">
        <v>0</v>
      </c>
      <c r="E6" s="261"/>
      <c r="F6" s="261" t="s">
        <v>31</v>
      </c>
      <c r="G6" s="261" t="s">
        <v>30</v>
      </c>
      <c r="H6" s="261" t="s">
        <v>29</v>
      </c>
      <c r="I6" s="261" t="s">
        <v>28</v>
      </c>
      <c r="J6" s="261" t="s">
        <v>273</v>
      </c>
      <c r="K6" s="261" t="s">
        <v>27</v>
      </c>
      <c r="L6" s="261" t="s">
        <v>355</v>
      </c>
      <c r="M6" s="263" t="s">
        <v>2</v>
      </c>
      <c r="N6" s="263" t="s">
        <v>3</v>
      </c>
      <c r="O6" s="263" t="s">
        <v>4</v>
      </c>
      <c r="P6" s="263" t="s">
        <v>5</v>
      </c>
      <c r="Q6" s="263" t="s">
        <v>6</v>
      </c>
      <c r="R6" s="263" t="s">
        <v>7</v>
      </c>
      <c r="S6" s="263" t="s">
        <v>8</v>
      </c>
      <c r="T6" s="263" t="s">
        <v>9</v>
      </c>
      <c r="U6" s="263" t="s">
        <v>10</v>
      </c>
      <c r="V6" s="263" t="s">
        <v>11</v>
      </c>
      <c r="W6" s="263" t="s">
        <v>12</v>
      </c>
      <c r="X6" s="263" t="s">
        <v>13</v>
      </c>
      <c r="Y6" s="263" t="s">
        <v>14</v>
      </c>
      <c r="Z6" s="263" t="s">
        <v>15</v>
      </c>
      <c r="AA6" s="263" t="s">
        <v>16</v>
      </c>
      <c r="AB6" s="263" t="s">
        <v>17</v>
      </c>
      <c r="AC6" s="263" t="s">
        <v>18</v>
      </c>
      <c r="AD6" s="263" t="s">
        <v>19</v>
      </c>
      <c r="AE6" s="263" t="s">
        <v>20</v>
      </c>
      <c r="AF6" s="263" t="s">
        <v>21</v>
      </c>
      <c r="AG6" s="263" t="s">
        <v>22</v>
      </c>
      <c r="AH6" s="263" t="s">
        <v>23</v>
      </c>
      <c r="AI6" s="263" t="s">
        <v>24</v>
      </c>
      <c r="AJ6" s="263" t="s">
        <v>25</v>
      </c>
      <c r="AK6" s="263" t="s">
        <v>61</v>
      </c>
      <c r="AL6" s="263" t="s">
        <v>62</v>
      </c>
      <c r="AM6" s="263" t="s">
        <v>63</v>
      </c>
      <c r="AN6" s="263" t="s">
        <v>64</v>
      </c>
      <c r="AO6" s="263" t="s">
        <v>65</v>
      </c>
      <c r="AP6" s="263" t="s">
        <v>66</v>
      </c>
      <c r="AQ6" s="263" t="s">
        <v>67</v>
      </c>
      <c r="AR6" s="263" t="s">
        <v>68</v>
      </c>
      <c r="AS6" s="263" t="s">
        <v>69</v>
      </c>
      <c r="AT6" s="263" t="s">
        <v>70</v>
      </c>
      <c r="AU6" s="263" t="s">
        <v>71</v>
      </c>
      <c r="AV6" s="263" t="s">
        <v>72</v>
      </c>
      <c r="AW6" s="263" t="s">
        <v>73</v>
      </c>
      <c r="AX6" s="263" t="s">
        <v>74</v>
      </c>
      <c r="AY6" s="263" t="s">
        <v>75</v>
      </c>
      <c r="AZ6" s="263" t="s">
        <v>76</v>
      </c>
      <c r="BA6" s="263" t="s">
        <v>77</v>
      </c>
      <c r="BB6" s="263" t="s">
        <v>78</v>
      </c>
      <c r="BC6" s="263" t="s">
        <v>79</v>
      </c>
      <c r="BD6" s="263" t="s">
        <v>80</v>
      </c>
      <c r="BE6" s="263" t="s">
        <v>81</v>
      </c>
      <c r="BF6" s="263" t="s">
        <v>82</v>
      </c>
      <c r="BG6" s="263" t="s">
        <v>83</v>
      </c>
      <c r="BH6" s="263" t="s">
        <v>84</v>
      </c>
      <c r="BI6" s="263" t="s">
        <v>85</v>
      </c>
      <c r="BJ6" s="263" t="s">
        <v>86</v>
      </c>
      <c r="BK6" s="263" t="s">
        <v>87</v>
      </c>
      <c r="BL6" s="264" t="s">
        <v>88</v>
      </c>
      <c r="BM6" s="263" t="s">
        <v>195</v>
      </c>
      <c r="BN6" s="263" t="s">
        <v>196</v>
      </c>
      <c r="BO6" s="263" t="s">
        <v>197</v>
      </c>
      <c r="BP6" s="263" t="s">
        <v>198</v>
      </c>
      <c r="BQ6" s="263" t="s">
        <v>199</v>
      </c>
      <c r="BR6" s="263" t="s">
        <v>200</v>
      </c>
      <c r="BS6" s="263" t="s">
        <v>201</v>
      </c>
      <c r="BT6" s="263" t="s">
        <v>202</v>
      </c>
      <c r="BU6" s="263" t="s">
        <v>203</v>
      </c>
      <c r="BV6" s="263" t="s">
        <v>204</v>
      </c>
      <c r="BW6" s="263" t="s">
        <v>205</v>
      </c>
      <c r="BX6" s="263" t="s">
        <v>206</v>
      </c>
      <c r="BY6" s="263" t="s">
        <v>207</v>
      </c>
      <c r="BZ6" s="263" t="s">
        <v>208</v>
      </c>
      <c r="CA6" s="263" t="s">
        <v>209</v>
      </c>
      <c r="CB6" s="263" t="s">
        <v>210</v>
      </c>
      <c r="CC6" s="263" t="s">
        <v>211</v>
      </c>
      <c r="CD6" s="263" t="s">
        <v>212</v>
      </c>
    </row>
    <row r="7" spans="1:82" s="101" customFormat="1" ht="13.35" thickBot="1" x14ac:dyDescent="0.5">
      <c r="A7" s="280"/>
      <c r="B7" s="262"/>
      <c r="C7" s="262"/>
      <c r="D7" s="262"/>
      <c r="E7" s="262"/>
      <c r="F7" s="262"/>
      <c r="G7" s="262"/>
      <c r="H7" s="262"/>
      <c r="I7" s="262"/>
      <c r="J7" s="262"/>
      <c r="K7" s="262"/>
      <c r="L7" s="262"/>
      <c r="M7" s="262"/>
      <c r="N7" s="262"/>
      <c r="O7" s="262"/>
      <c r="P7" s="262"/>
      <c r="Q7" s="262"/>
      <c r="R7" s="262"/>
      <c r="S7" s="262"/>
      <c r="T7" s="262"/>
      <c r="U7" s="262"/>
      <c r="V7" s="262"/>
      <c r="W7" s="262"/>
      <c r="X7" s="262"/>
      <c r="Y7" s="262"/>
      <c r="Z7" s="262"/>
      <c r="AA7" s="262"/>
      <c r="AB7" s="262"/>
      <c r="AC7" s="262"/>
      <c r="AD7" s="262"/>
      <c r="AE7" s="262"/>
      <c r="AF7" s="262"/>
      <c r="AG7" s="262"/>
      <c r="AH7" s="262"/>
      <c r="AI7" s="262"/>
      <c r="AJ7" s="262"/>
      <c r="AK7" s="262"/>
      <c r="AL7" s="262"/>
      <c r="AM7" s="262"/>
      <c r="AN7" s="262"/>
      <c r="AO7" s="262"/>
      <c r="AP7" s="262"/>
      <c r="AQ7" s="262"/>
      <c r="AR7" s="262"/>
      <c r="AS7" s="262"/>
      <c r="AT7" s="262"/>
      <c r="AU7" s="262"/>
      <c r="AV7" s="262"/>
      <c r="AW7" s="262"/>
      <c r="AX7" s="262"/>
      <c r="AY7" s="262"/>
      <c r="AZ7" s="262"/>
      <c r="BA7" s="262"/>
      <c r="BB7" s="262"/>
      <c r="BC7" s="262"/>
      <c r="BD7" s="262"/>
      <c r="BE7" s="262"/>
      <c r="BF7" s="262"/>
      <c r="BG7" s="262"/>
      <c r="BH7" s="262"/>
      <c r="BI7" s="262"/>
      <c r="BJ7" s="262"/>
      <c r="BK7" s="262"/>
      <c r="BL7" s="265"/>
      <c r="BM7" s="262"/>
      <c r="BN7" s="262"/>
      <c r="BO7" s="262"/>
      <c r="BP7" s="262"/>
      <c r="BQ7" s="262"/>
      <c r="BR7" s="262"/>
      <c r="BS7" s="262"/>
      <c r="BT7" s="262"/>
      <c r="BU7" s="262"/>
      <c r="BV7" s="262"/>
      <c r="BW7" s="262"/>
      <c r="BX7" s="262"/>
      <c r="BY7" s="262"/>
      <c r="BZ7" s="262"/>
      <c r="CA7" s="262"/>
      <c r="CB7" s="262"/>
      <c r="CC7" s="262"/>
      <c r="CD7" s="262"/>
    </row>
    <row r="8" spans="1:82" ht="15" customHeight="1" x14ac:dyDescent="0.45">
      <c r="A8" s="161"/>
      <c r="B8" s="162" t="s">
        <v>353</v>
      </c>
      <c r="C8" s="104"/>
      <c r="D8" s="105" t="str">
        <f t="shared" ref="D8:D30" si="3">IF(ISERROR(VLOOKUP(C8,Level,2,0)),"",VLOOKUP(C8,Level,2,0))</f>
        <v/>
      </c>
      <c r="E8" s="163">
        <f t="shared" ref="E8:E30" si="4">IF(ISERROR(VLOOKUP(D8, LevelRates,2,FALSE)),0,VLOOKUP(D8, LevelRates,2,FALSE))</f>
        <v>0</v>
      </c>
      <c r="F8" s="112">
        <f>E8*O$2</f>
        <v>0</v>
      </c>
      <c r="G8" s="164"/>
      <c r="H8" s="106">
        <f t="shared" ref="H8:H31" si="5">IF(I$32&gt;0,((J$32/I$32)*F8),0)</f>
        <v>0</v>
      </c>
      <c r="I8" s="165">
        <f>F8*L8</f>
        <v>0</v>
      </c>
      <c r="J8" s="165">
        <f>G8*L8</f>
        <v>0</v>
      </c>
      <c r="K8" s="165">
        <f>H8*L8</f>
        <v>0</v>
      </c>
      <c r="L8" s="107">
        <f>SUM(M8:CJ8)</f>
        <v>0</v>
      </c>
      <c r="M8" s="108"/>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c r="BY8" s="108"/>
      <c r="BZ8" s="108"/>
      <c r="CA8" s="108"/>
      <c r="CB8" s="108"/>
      <c r="CC8" s="108"/>
      <c r="CD8" s="108"/>
    </row>
    <row r="9" spans="1:82" ht="15" customHeight="1" x14ac:dyDescent="0.45">
      <c r="A9" s="109"/>
      <c r="B9" s="162" t="s">
        <v>353</v>
      </c>
      <c r="C9" s="104"/>
      <c r="D9" s="105" t="str">
        <f t="shared" si="3"/>
        <v/>
      </c>
      <c r="E9" s="163">
        <f t="shared" si="4"/>
        <v>0</v>
      </c>
      <c r="F9" s="112">
        <f t="shared" ref="F9:F30" si="6">E9*O$2</f>
        <v>0</v>
      </c>
      <c r="G9" s="166"/>
      <c r="H9" s="106">
        <f t="shared" si="5"/>
        <v>0</v>
      </c>
      <c r="I9" s="165">
        <f t="shared" ref="I9:I30" si="7">F9*L9</f>
        <v>0</v>
      </c>
      <c r="J9" s="165">
        <f t="shared" ref="J9:J30" si="8">G9*L9</f>
        <v>0</v>
      </c>
      <c r="K9" s="165">
        <f t="shared" ref="K9:K30" si="9">H9*L9</f>
        <v>0</v>
      </c>
      <c r="L9" s="107">
        <f>SUM(M9:CJ9)</f>
        <v>0</v>
      </c>
      <c r="M9" s="108"/>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c r="BY9" s="108"/>
      <c r="BZ9" s="108"/>
      <c r="CA9" s="108"/>
      <c r="CB9" s="108"/>
      <c r="CC9" s="108"/>
      <c r="CD9" s="108"/>
    </row>
    <row r="10" spans="1:82" ht="15" customHeight="1" x14ac:dyDescent="0.45">
      <c r="A10" s="109"/>
      <c r="B10" s="162" t="s">
        <v>353</v>
      </c>
      <c r="C10" s="104"/>
      <c r="D10" s="105" t="str">
        <f t="shared" si="3"/>
        <v/>
      </c>
      <c r="E10" s="163">
        <f t="shared" si="4"/>
        <v>0</v>
      </c>
      <c r="F10" s="112">
        <f t="shared" si="6"/>
        <v>0</v>
      </c>
      <c r="G10" s="166"/>
      <c r="H10" s="106">
        <f t="shared" si="5"/>
        <v>0</v>
      </c>
      <c r="I10" s="165">
        <f t="shared" si="7"/>
        <v>0</v>
      </c>
      <c r="J10" s="165">
        <f t="shared" si="8"/>
        <v>0</v>
      </c>
      <c r="K10" s="165">
        <f t="shared" si="9"/>
        <v>0</v>
      </c>
      <c r="L10" s="107">
        <f t="shared" ref="L10:L30" si="10">SUM(M10:CJ10)</f>
        <v>0</v>
      </c>
      <c r="M10" s="108"/>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c r="BY10" s="108"/>
      <c r="BZ10" s="108"/>
      <c r="CA10" s="108"/>
      <c r="CB10" s="108"/>
      <c r="CC10" s="108"/>
      <c r="CD10" s="108"/>
    </row>
    <row r="11" spans="1:82" ht="15" customHeight="1" x14ac:dyDescent="0.45">
      <c r="A11" s="109"/>
      <c r="B11" s="162" t="s">
        <v>353</v>
      </c>
      <c r="C11" s="104"/>
      <c r="D11" s="105" t="str">
        <f t="shared" si="3"/>
        <v/>
      </c>
      <c r="E11" s="163">
        <f t="shared" si="4"/>
        <v>0</v>
      </c>
      <c r="F11" s="112">
        <f t="shared" si="6"/>
        <v>0</v>
      </c>
      <c r="G11" s="166"/>
      <c r="H11" s="106">
        <f t="shared" si="5"/>
        <v>0</v>
      </c>
      <c r="I11" s="165">
        <f t="shared" si="7"/>
        <v>0</v>
      </c>
      <c r="J11" s="165">
        <f t="shared" si="8"/>
        <v>0</v>
      </c>
      <c r="K11" s="165">
        <f t="shared" si="9"/>
        <v>0</v>
      </c>
      <c r="L11" s="107">
        <f t="shared" si="10"/>
        <v>0</v>
      </c>
      <c r="M11" s="10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c r="BY11" s="108"/>
      <c r="BZ11" s="108"/>
      <c r="CA11" s="108"/>
      <c r="CB11" s="108"/>
      <c r="CC11" s="108"/>
      <c r="CD11" s="108"/>
    </row>
    <row r="12" spans="1:82" ht="15" customHeight="1" x14ac:dyDescent="0.45">
      <c r="A12" s="109"/>
      <c r="B12" s="162" t="s">
        <v>353</v>
      </c>
      <c r="C12" s="104"/>
      <c r="D12" s="105" t="str">
        <f t="shared" si="3"/>
        <v/>
      </c>
      <c r="E12" s="163">
        <f t="shared" si="4"/>
        <v>0</v>
      </c>
      <c r="F12" s="112">
        <f t="shared" si="6"/>
        <v>0</v>
      </c>
      <c r="G12" s="166"/>
      <c r="H12" s="106">
        <f t="shared" si="5"/>
        <v>0</v>
      </c>
      <c r="I12" s="165">
        <f t="shared" si="7"/>
        <v>0</v>
      </c>
      <c r="J12" s="165">
        <f t="shared" si="8"/>
        <v>0</v>
      </c>
      <c r="K12" s="165">
        <f t="shared" si="9"/>
        <v>0</v>
      </c>
      <c r="L12" s="107">
        <f t="shared" si="10"/>
        <v>0</v>
      </c>
      <c r="M12" s="108"/>
      <c r="N12" s="108"/>
      <c r="O12" s="108"/>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c r="BY12" s="108"/>
      <c r="BZ12" s="108"/>
      <c r="CA12" s="108"/>
      <c r="CB12" s="108"/>
      <c r="CC12" s="108"/>
      <c r="CD12" s="108"/>
    </row>
    <row r="13" spans="1:82" ht="15" customHeight="1" x14ac:dyDescent="0.45">
      <c r="A13" s="109"/>
      <c r="B13" s="162" t="s">
        <v>353</v>
      </c>
      <c r="C13" s="104"/>
      <c r="D13" s="105" t="str">
        <f t="shared" si="3"/>
        <v/>
      </c>
      <c r="E13" s="163">
        <f t="shared" si="4"/>
        <v>0</v>
      </c>
      <c r="F13" s="112">
        <f t="shared" si="6"/>
        <v>0</v>
      </c>
      <c r="G13" s="166"/>
      <c r="H13" s="106">
        <f t="shared" si="5"/>
        <v>0</v>
      </c>
      <c r="I13" s="165">
        <f t="shared" si="7"/>
        <v>0</v>
      </c>
      <c r="J13" s="165">
        <f t="shared" si="8"/>
        <v>0</v>
      </c>
      <c r="K13" s="165">
        <f t="shared" si="9"/>
        <v>0</v>
      </c>
      <c r="L13" s="107">
        <f t="shared" si="10"/>
        <v>0</v>
      </c>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row>
    <row r="14" spans="1:82" ht="15" customHeight="1" x14ac:dyDescent="0.45">
      <c r="A14" s="109"/>
      <c r="B14" s="162" t="s">
        <v>353</v>
      </c>
      <c r="C14" s="111"/>
      <c r="D14" s="105" t="str">
        <f t="shared" si="3"/>
        <v/>
      </c>
      <c r="E14" s="163">
        <f t="shared" si="4"/>
        <v>0</v>
      </c>
      <c r="F14" s="112">
        <f t="shared" si="6"/>
        <v>0</v>
      </c>
      <c r="G14" s="166"/>
      <c r="H14" s="106">
        <f t="shared" si="5"/>
        <v>0</v>
      </c>
      <c r="I14" s="165">
        <f t="shared" si="7"/>
        <v>0</v>
      </c>
      <c r="J14" s="165">
        <f t="shared" si="8"/>
        <v>0</v>
      </c>
      <c r="K14" s="165">
        <f t="shared" si="9"/>
        <v>0</v>
      </c>
      <c r="L14" s="107">
        <f t="shared" si="10"/>
        <v>0</v>
      </c>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row>
    <row r="15" spans="1:82" ht="15" customHeight="1" x14ac:dyDescent="0.45">
      <c r="A15" s="109"/>
      <c r="B15" s="162"/>
      <c r="C15" s="123"/>
      <c r="D15" s="105" t="str">
        <f t="shared" si="3"/>
        <v/>
      </c>
      <c r="E15" s="163">
        <f t="shared" si="4"/>
        <v>0</v>
      </c>
      <c r="F15" s="112">
        <f t="shared" si="6"/>
        <v>0</v>
      </c>
      <c r="G15" s="164"/>
      <c r="H15" s="106">
        <f t="shared" si="5"/>
        <v>0</v>
      </c>
      <c r="I15" s="165">
        <f t="shared" si="7"/>
        <v>0</v>
      </c>
      <c r="J15" s="165">
        <f t="shared" si="8"/>
        <v>0</v>
      </c>
      <c r="K15" s="165">
        <f t="shared" si="9"/>
        <v>0</v>
      </c>
      <c r="L15" s="107">
        <f t="shared" si="10"/>
        <v>0</v>
      </c>
      <c r="M15" s="108"/>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row>
    <row r="16" spans="1:82" ht="15" customHeight="1" x14ac:dyDescent="0.45">
      <c r="A16" s="109"/>
      <c r="B16" s="162"/>
      <c r="C16" s="104"/>
      <c r="D16" s="105" t="str">
        <f t="shared" si="3"/>
        <v/>
      </c>
      <c r="E16" s="163">
        <f t="shared" si="4"/>
        <v>0</v>
      </c>
      <c r="F16" s="112">
        <f t="shared" si="6"/>
        <v>0</v>
      </c>
      <c r="G16" s="164"/>
      <c r="H16" s="106">
        <f t="shared" si="5"/>
        <v>0</v>
      </c>
      <c r="I16" s="165">
        <f t="shared" si="7"/>
        <v>0</v>
      </c>
      <c r="J16" s="165">
        <f t="shared" si="8"/>
        <v>0</v>
      </c>
      <c r="K16" s="165">
        <f t="shared" si="9"/>
        <v>0</v>
      </c>
      <c r="L16" s="107">
        <f t="shared" si="10"/>
        <v>0</v>
      </c>
      <c r="M16" s="108"/>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c r="AX16" s="108"/>
      <c r="AY16" s="108"/>
      <c r="AZ16" s="108"/>
      <c r="BA16" s="108"/>
      <c r="BB16" s="108"/>
      <c r="BC16" s="108"/>
      <c r="BD16" s="108"/>
      <c r="BE16" s="108"/>
      <c r="BF16" s="108"/>
      <c r="BG16" s="108"/>
      <c r="BH16" s="108"/>
      <c r="BI16" s="108"/>
      <c r="BJ16" s="108"/>
      <c r="BK16" s="108"/>
      <c r="BL16" s="108"/>
      <c r="BM16" s="108"/>
      <c r="BN16" s="108"/>
      <c r="BO16" s="108"/>
      <c r="BP16" s="108"/>
      <c r="BQ16" s="108"/>
      <c r="BR16" s="108"/>
      <c r="BS16" s="108"/>
      <c r="BT16" s="108"/>
      <c r="BU16" s="108"/>
      <c r="BV16" s="108"/>
      <c r="BW16" s="108"/>
      <c r="BX16" s="108"/>
      <c r="BY16" s="108"/>
      <c r="BZ16" s="108"/>
      <c r="CA16" s="108"/>
      <c r="CB16" s="108"/>
      <c r="CC16" s="108"/>
      <c r="CD16" s="108"/>
    </row>
    <row r="17" spans="1:89" ht="15" customHeight="1" x14ac:dyDescent="0.45">
      <c r="A17" s="109"/>
      <c r="B17" s="162"/>
      <c r="C17" s="104"/>
      <c r="D17" s="105" t="str">
        <f t="shared" si="3"/>
        <v/>
      </c>
      <c r="E17" s="163">
        <f t="shared" si="4"/>
        <v>0</v>
      </c>
      <c r="F17" s="112">
        <f t="shared" si="6"/>
        <v>0</v>
      </c>
      <c r="G17" s="164"/>
      <c r="H17" s="106">
        <f t="shared" si="5"/>
        <v>0</v>
      </c>
      <c r="I17" s="165">
        <f t="shared" si="7"/>
        <v>0</v>
      </c>
      <c r="J17" s="165">
        <f t="shared" si="8"/>
        <v>0</v>
      </c>
      <c r="K17" s="165">
        <f t="shared" si="9"/>
        <v>0</v>
      </c>
      <c r="L17" s="107">
        <f t="shared" si="10"/>
        <v>0</v>
      </c>
      <c r="M17" s="108"/>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c r="BY17" s="108"/>
      <c r="BZ17" s="108"/>
      <c r="CA17" s="108"/>
      <c r="CB17" s="108"/>
      <c r="CC17" s="108"/>
      <c r="CD17" s="108"/>
    </row>
    <row r="18" spans="1:89" ht="15" customHeight="1" x14ac:dyDescent="0.45">
      <c r="A18" s="109"/>
      <c r="B18" s="162"/>
      <c r="C18" s="104"/>
      <c r="D18" s="105" t="str">
        <f t="shared" si="3"/>
        <v/>
      </c>
      <c r="E18" s="163">
        <f t="shared" si="4"/>
        <v>0</v>
      </c>
      <c r="F18" s="112">
        <f t="shared" si="6"/>
        <v>0</v>
      </c>
      <c r="G18" s="164"/>
      <c r="H18" s="106">
        <f t="shared" si="5"/>
        <v>0</v>
      </c>
      <c r="I18" s="165">
        <f t="shared" si="7"/>
        <v>0</v>
      </c>
      <c r="J18" s="165">
        <f t="shared" si="8"/>
        <v>0</v>
      </c>
      <c r="K18" s="165">
        <f t="shared" si="9"/>
        <v>0</v>
      </c>
      <c r="L18" s="107">
        <f t="shared" si="10"/>
        <v>0</v>
      </c>
      <c r="M18" s="108"/>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c r="BY18" s="108"/>
      <c r="BZ18" s="108"/>
      <c r="CA18" s="108"/>
      <c r="CB18" s="108"/>
      <c r="CC18" s="108"/>
      <c r="CD18" s="108"/>
    </row>
    <row r="19" spans="1:89" ht="15" customHeight="1" x14ac:dyDescent="0.45">
      <c r="A19" s="109"/>
      <c r="B19" s="162"/>
      <c r="C19" s="104"/>
      <c r="D19" s="105" t="str">
        <f t="shared" si="3"/>
        <v/>
      </c>
      <c r="E19" s="163">
        <f t="shared" si="4"/>
        <v>0</v>
      </c>
      <c r="F19" s="112">
        <f t="shared" si="6"/>
        <v>0</v>
      </c>
      <c r="G19" s="164"/>
      <c r="H19" s="106">
        <f t="shared" si="5"/>
        <v>0</v>
      </c>
      <c r="I19" s="165">
        <f t="shared" si="7"/>
        <v>0</v>
      </c>
      <c r="J19" s="165">
        <f t="shared" si="8"/>
        <v>0</v>
      </c>
      <c r="K19" s="165">
        <f t="shared" si="9"/>
        <v>0</v>
      </c>
      <c r="L19" s="107">
        <f t="shared" si="10"/>
        <v>0</v>
      </c>
      <c r="M19" s="108"/>
      <c r="N19" s="108"/>
      <c r="O19" s="108"/>
      <c r="P19" s="108"/>
      <c r="Q19" s="108"/>
      <c r="R19" s="108"/>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c r="BY19" s="108"/>
      <c r="BZ19" s="108"/>
      <c r="CA19" s="108"/>
      <c r="CB19" s="108"/>
      <c r="CC19" s="108"/>
      <c r="CD19" s="108"/>
    </row>
    <row r="20" spans="1:89" ht="15" customHeight="1" x14ac:dyDescent="0.45">
      <c r="A20" s="109"/>
      <c r="B20" s="162" t="s">
        <v>353</v>
      </c>
      <c r="C20" s="104"/>
      <c r="D20" s="105" t="str">
        <f t="shared" si="3"/>
        <v/>
      </c>
      <c r="E20" s="163">
        <f t="shared" si="4"/>
        <v>0</v>
      </c>
      <c r="F20" s="112">
        <f t="shared" si="6"/>
        <v>0</v>
      </c>
      <c r="G20" s="164"/>
      <c r="H20" s="106">
        <f t="shared" si="5"/>
        <v>0</v>
      </c>
      <c r="I20" s="165">
        <f t="shared" si="7"/>
        <v>0</v>
      </c>
      <c r="J20" s="165">
        <f t="shared" si="8"/>
        <v>0</v>
      </c>
      <c r="K20" s="165">
        <f t="shared" si="9"/>
        <v>0</v>
      </c>
      <c r="L20" s="107">
        <f t="shared" si="10"/>
        <v>0</v>
      </c>
      <c r="M20" s="108"/>
      <c r="N20" s="108"/>
      <c r="O20" s="108"/>
      <c r="P20" s="108"/>
      <c r="Q20" s="108"/>
      <c r="R20" s="108"/>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row>
    <row r="21" spans="1:89" ht="15" customHeight="1" x14ac:dyDescent="0.45">
      <c r="A21" s="109"/>
      <c r="B21" s="162" t="s">
        <v>353</v>
      </c>
      <c r="C21" s="104"/>
      <c r="D21" s="105" t="str">
        <f>IF(ISERROR(VLOOKUP(C21,Level,2,0)),"",VLOOKUP(C21,Level,2,0))</f>
        <v/>
      </c>
      <c r="E21" s="163">
        <f>IF(ISERROR(VLOOKUP(D21, LevelRates,2,FALSE)),0,VLOOKUP(D21, LevelRates,2,FALSE))</f>
        <v>0</v>
      </c>
      <c r="F21" s="112">
        <f>E21*O$2</f>
        <v>0</v>
      </c>
      <c r="G21" s="164"/>
      <c r="H21" s="106">
        <f t="shared" si="5"/>
        <v>0</v>
      </c>
      <c r="I21" s="165">
        <f>F21*L21</f>
        <v>0</v>
      </c>
      <c r="J21" s="165">
        <f>G21*L21</f>
        <v>0</v>
      </c>
      <c r="K21" s="165">
        <f>H21*L21</f>
        <v>0</v>
      </c>
      <c r="L21" s="107">
        <f>SUM(M21:CJ21)</f>
        <v>0</v>
      </c>
      <c r="M21" s="108"/>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c r="BY21" s="108"/>
      <c r="BZ21" s="108"/>
      <c r="CA21" s="108"/>
      <c r="CB21" s="108"/>
      <c r="CC21" s="108"/>
      <c r="CD21" s="108"/>
    </row>
    <row r="22" spans="1:89" ht="15" customHeight="1" x14ac:dyDescent="0.45">
      <c r="A22" s="109"/>
      <c r="B22" s="162" t="s">
        <v>353</v>
      </c>
      <c r="C22" s="104"/>
      <c r="D22" s="105" t="str">
        <f>IF(ISERROR(VLOOKUP(C22,Level,2,0)),"",VLOOKUP(C22,Level,2,0))</f>
        <v/>
      </c>
      <c r="E22" s="163">
        <f>IF(ISERROR(VLOOKUP(D22, LevelRates,2,FALSE)),0,VLOOKUP(D22, LevelRates,2,FALSE))</f>
        <v>0</v>
      </c>
      <c r="F22" s="112">
        <f>E22*O$2</f>
        <v>0</v>
      </c>
      <c r="G22" s="164"/>
      <c r="H22" s="106">
        <f t="shared" si="5"/>
        <v>0</v>
      </c>
      <c r="I22" s="165">
        <f>F22*L22</f>
        <v>0</v>
      </c>
      <c r="J22" s="165">
        <f>G22*L22</f>
        <v>0</v>
      </c>
      <c r="K22" s="165">
        <f>H22*L22</f>
        <v>0</v>
      </c>
      <c r="L22" s="107">
        <f>SUM(M22:CJ22)</f>
        <v>0</v>
      </c>
      <c r="M22" s="108"/>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c r="BY22" s="108"/>
      <c r="BZ22" s="108"/>
      <c r="CA22" s="108"/>
      <c r="CB22" s="108"/>
      <c r="CC22" s="108"/>
      <c r="CD22" s="108"/>
    </row>
    <row r="23" spans="1:89" ht="15" customHeight="1" x14ac:dyDescent="0.45">
      <c r="A23" s="109"/>
      <c r="B23" s="162" t="s">
        <v>353</v>
      </c>
      <c r="C23" s="104"/>
      <c r="D23" s="105" t="str">
        <f>IF(ISERROR(VLOOKUP(C23,Level,2,0)),"",VLOOKUP(C23,Level,2,0))</f>
        <v/>
      </c>
      <c r="E23" s="163">
        <f>IF(ISERROR(VLOOKUP(D23, LevelRates,2,FALSE)),0,VLOOKUP(D23, LevelRates,2,FALSE))</f>
        <v>0</v>
      </c>
      <c r="F23" s="112">
        <f>E23*O$2</f>
        <v>0</v>
      </c>
      <c r="G23" s="164"/>
      <c r="H23" s="106">
        <f t="shared" si="5"/>
        <v>0</v>
      </c>
      <c r="I23" s="165">
        <f>F23*L23</f>
        <v>0</v>
      </c>
      <c r="J23" s="165">
        <f>G23*L23</f>
        <v>0</v>
      </c>
      <c r="K23" s="165">
        <f>H23*L23</f>
        <v>0</v>
      </c>
      <c r="L23" s="107">
        <f>SUM(M23:CJ23)</f>
        <v>0</v>
      </c>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c r="BY23" s="108"/>
      <c r="BZ23" s="108"/>
      <c r="CA23" s="108"/>
      <c r="CB23" s="108"/>
      <c r="CC23" s="108"/>
      <c r="CD23" s="108"/>
    </row>
    <row r="24" spans="1:89" ht="15" customHeight="1" x14ac:dyDescent="0.45">
      <c r="A24" s="109"/>
      <c r="B24" s="162" t="s">
        <v>353</v>
      </c>
      <c r="C24" s="104"/>
      <c r="D24" s="105" t="str">
        <f t="shared" si="3"/>
        <v/>
      </c>
      <c r="E24" s="163">
        <f t="shared" si="4"/>
        <v>0</v>
      </c>
      <c r="F24" s="112">
        <f t="shared" si="6"/>
        <v>0</v>
      </c>
      <c r="G24" s="164"/>
      <c r="H24" s="106">
        <f t="shared" si="5"/>
        <v>0</v>
      </c>
      <c r="I24" s="165">
        <f t="shared" si="7"/>
        <v>0</v>
      </c>
      <c r="J24" s="165">
        <f t="shared" si="8"/>
        <v>0</v>
      </c>
      <c r="K24" s="165">
        <f t="shared" si="9"/>
        <v>0</v>
      </c>
      <c r="L24" s="107">
        <f t="shared" si="10"/>
        <v>0</v>
      </c>
      <c r="M24" s="108"/>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c r="AX24" s="108"/>
      <c r="AY24" s="108"/>
      <c r="AZ24" s="108"/>
      <c r="BA24" s="108"/>
      <c r="BB24" s="108"/>
      <c r="BC24" s="108"/>
      <c r="BD24" s="108"/>
      <c r="BE24" s="108"/>
      <c r="BF24" s="108"/>
      <c r="BG24" s="108"/>
      <c r="BH24" s="108"/>
      <c r="BI24" s="108"/>
      <c r="BJ24" s="108"/>
      <c r="BK24" s="108"/>
      <c r="BL24" s="108"/>
      <c r="BM24" s="108"/>
      <c r="BN24" s="108"/>
      <c r="BO24" s="108"/>
      <c r="BP24" s="108"/>
      <c r="BQ24" s="108"/>
      <c r="BR24" s="108"/>
      <c r="BS24" s="108"/>
      <c r="BT24" s="108"/>
      <c r="BU24" s="108"/>
      <c r="BV24" s="108"/>
      <c r="BW24" s="108"/>
      <c r="BX24" s="108"/>
      <c r="BY24" s="108"/>
      <c r="BZ24" s="108"/>
      <c r="CA24" s="108"/>
      <c r="CB24" s="108"/>
      <c r="CC24" s="108"/>
      <c r="CD24" s="108"/>
    </row>
    <row r="25" spans="1:89" ht="15" customHeight="1" x14ac:dyDescent="0.45">
      <c r="A25" s="109"/>
      <c r="B25" s="162"/>
      <c r="C25" s="104"/>
      <c r="D25" s="105" t="str">
        <f t="shared" si="3"/>
        <v/>
      </c>
      <c r="E25" s="163">
        <f t="shared" si="4"/>
        <v>0</v>
      </c>
      <c r="F25" s="112">
        <f t="shared" si="6"/>
        <v>0</v>
      </c>
      <c r="G25" s="164"/>
      <c r="H25" s="106">
        <f t="shared" si="5"/>
        <v>0</v>
      </c>
      <c r="I25" s="165">
        <f t="shared" si="7"/>
        <v>0</v>
      </c>
      <c r="J25" s="165">
        <f t="shared" si="8"/>
        <v>0</v>
      </c>
      <c r="K25" s="165">
        <f t="shared" si="9"/>
        <v>0</v>
      </c>
      <c r="L25" s="107">
        <f>SUM(M25:CJ25)</f>
        <v>0</v>
      </c>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row>
    <row r="26" spans="1:89" ht="15" customHeight="1" x14ac:dyDescent="0.45">
      <c r="A26" s="109"/>
      <c r="B26" s="162" t="s">
        <v>353</v>
      </c>
      <c r="C26" s="104"/>
      <c r="D26" s="105" t="str">
        <f t="shared" si="3"/>
        <v/>
      </c>
      <c r="E26" s="163">
        <f t="shared" si="4"/>
        <v>0</v>
      </c>
      <c r="F26" s="112">
        <f t="shared" si="6"/>
        <v>0</v>
      </c>
      <c r="G26" s="164"/>
      <c r="H26" s="106">
        <f t="shared" si="5"/>
        <v>0</v>
      </c>
      <c r="I26" s="165">
        <f t="shared" si="7"/>
        <v>0</v>
      </c>
      <c r="J26" s="165">
        <f t="shared" si="8"/>
        <v>0</v>
      </c>
      <c r="K26" s="165">
        <f t="shared" si="9"/>
        <v>0</v>
      </c>
      <c r="L26" s="107">
        <f>SUM(M26:CJ26)</f>
        <v>0</v>
      </c>
      <c r="M26" s="108"/>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108"/>
      <c r="BA26" s="108"/>
      <c r="BB26" s="108"/>
      <c r="BC26" s="108"/>
      <c r="BD26" s="108"/>
      <c r="BE26" s="108"/>
      <c r="BF26" s="108"/>
      <c r="BG26" s="108"/>
      <c r="BH26" s="108"/>
      <c r="BI26" s="108"/>
      <c r="BJ26" s="108"/>
      <c r="BK26" s="108"/>
      <c r="BL26" s="108"/>
      <c r="BM26" s="108"/>
      <c r="BN26" s="108"/>
      <c r="BO26" s="108"/>
      <c r="BP26" s="108"/>
      <c r="BQ26" s="108"/>
      <c r="BR26" s="108"/>
      <c r="BS26" s="108"/>
      <c r="BT26" s="108"/>
      <c r="BU26" s="108"/>
      <c r="BV26" s="108"/>
      <c r="BW26" s="108"/>
      <c r="BX26" s="108"/>
      <c r="BY26" s="108"/>
      <c r="BZ26" s="108"/>
      <c r="CA26" s="108"/>
      <c r="CB26" s="108"/>
      <c r="CC26" s="108"/>
      <c r="CD26" s="108"/>
    </row>
    <row r="27" spans="1:89" ht="15" customHeight="1" x14ac:dyDescent="0.45">
      <c r="A27" s="109"/>
      <c r="B27" s="162" t="s">
        <v>353</v>
      </c>
      <c r="C27" s="104"/>
      <c r="D27" s="105" t="str">
        <f t="shared" si="3"/>
        <v/>
      </c>
      <c r="E27" s="163">
        <f t="shared" si="4"/>
        <v>0</v>
      </c>
      <c r="F27" s="112">
        <f t="shared" si="6"/>
        <v>0</v>
      </c>
      <c r="G27" s="164"/>
      <c r="H27" s="106">
        <f t="shared" si="5"/>
        <v>0</v>
      </c>
      <c r="I27" s="165">
        <f t="shared" si="7"/>
        <v>0</v>
      </c>
      <c r="J27" s="165">
        <f t="shared" si="8"/>
        <v>0</v>
      </c>
      <c r="K27" s="165">
        <f t="shared" si="9"/>
        <v>0</v>
      </c>
      <c r="L27" s="107">
        <f t="shared" si="10"/>
        <v>0</v>
      </c>
      <c r="M27" s="108"/>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c r="BS27" s="108"/>
      <c r="BT27" s="108"/>
      <c r="BU27" s="108"/>
      <c r="BV27" s="108"/>
      <c r="BW27" s="108"/>
      <c r="BX27" s="108"/>
      <c r="BY27" s="108"/>
      <c r="BZ27" s="108"/>
      <c r="CA27" s="108"/>
      <c r="CB27" s="108"/>
      <c r="CC27" s="108"/>
      <c r="CD27" s="108"/>
    </row>
    <row r="28" spans="1:89" ht="15" customHeight="1" x14ac:dyDescent="0.45">
      <c r="A28" s="109"/>
      <c r="B28" s="162" t="s">
        <v>353</v>
      </c>
      <c r="C28" s="104"/>
      <c r="D28" s="105" t="str">
        <f t="shared" si="3"/>
        <v/>
      </c>
      <c r="E28" s="163">
        <f t="shared" si="4"/>
        <v>0</v>
      </c>
      <c r="F28" s="112">
        <f t="shared" si="6"/>
        <v>0</v>
      </c>
      <c r="G28" s="164"/>
      <c r="H28" s="106">
        <f t="shared" si="5"/>
        <v>0</v>
      </c>
      <c r="I28" s="165">
        <f t="shared" si="7"/>
        <v>0</v>
      </c>
      <c r="J28" s="165">
        <f t="shared" si="8"/>
        <v>0</v>
      </c>
      <c r="K28" s="165">
        <f t="shared" si="9"/>
        <v>0</v>
      </c>
      <c r="L28" s="107">
        <f t="shared" si="10"/>
        <v>0</v>
      </c>
      <c r="M28" s="108"/>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c r="BY28" s="108"/>
      <c r="BZ28" s="108"/>
      <c r="CA28" s="108"/>
      <c r="CB28" s="108"/>
      <c r="CC28" s="108"/>
      <c r="CD28" s="108"/>
    </row>
    <row r="29" spans="1:89" ht="15" customHeight="1" x14ac:dyDescent="0.45">
      <c r="A29" s="109"/>
      <c r="B29" s="162" t="s">
        <v>353</v>
      </c>
      <c r="C29" s="104"/>
      <c r="D29" s="105" t="str">
        <f t="shared" si="3"/>
        <v/>
      </c>
      <c r="E29" s="163">
        <f t="shared" si="4"/>
        <v>0</v>
      </c>
      <c r="F29" s="112">
        <f t="shared" si="6"/>
        <v>0</v>
      </c>
      <c r="G29" s="164"/>
      <c r="H29" s="106">
        <f t="shared" si="5"/>
        <v>0</v>
      </c>
      <c r="I29" s="165">
        <f t="shared" si="7"/>
        <v>0</v>
      </c>
      <c r="J29" s="165">
        <f t="shared" si="8"/>
        <v>0</v>
      </c>
      <c r="K29" s="165">
        <f t="shared" si="9"/>
        <v>0</v>
      </c>
      <c r="L29" s="107">
        <f>SUM(M29:CJ29)</f>
        <v>0</v>
      </c>
      <c r="M29" s="108"/>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c r="AN29" s="108"/>
      <c r="AO29" s="108"/>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8"/>
      <c r="BO29" s="108"/>
      <c r="BP29" s="108"/>
      <c r="BQ29" s="108"/>
      <c r="BR29" s="108"/>
      <c r="BS29" s="108"/>
      <c r="BT29" s="108"/>
      <c r="BU29" s="108"/>
      <c r="BV29" s="108"/>
      <c r="BW29" s="108"/>
      <c r="BX29" s="108"/>
      <c r="BY29" s="108"/>
      <c r="BZ29" s="108"/>
      <c r="CA29" s="108"/>
      <c r="CB29" s="108"/>
      <c r="CC29" s="108"/>
      <c r="CD29" s="108"/>
    </row>
    <row r="30" spans="1:89" ht="15" customHeight="1" x14ac:dyDescent="0.45">
      <c r="A30" s="109"/>
      <c r="B30" s="162"/>
      <c r="C30" s="104"/>
      <c r="D30" s="105" t="str">
        <f t="shared" si="3"/>
        <v/>
      </c>
      <c r="E30" s="163">
        <f t="shared" si="4"/>
        <v>0</v>
      </c>
      <c r="F30" s="112">
        <f t="shared" si="6"/>
        <v>0</v>
      </c>
      <c r="G30" s="164"/>
      <c r="H30" s="106">
        <f t="shared" si="5"/>
        <v>0</v>
      </c>
      <c r="I30" s="165">
        <f t="shared" si="7"/>
        <v>0</v>
      </c>
      <c r="J30" s="165">
        <f t="shared" si="8"/>
        <v>0</v>
      </c>
      <c r="K30" s="165">
        <f t="shared" si="9"/>
        <v>0</v>
      </c>
      <c r="L30" s="107">
        <f t="shared" si="10"/>
        <v>0</v>
      </c>
      <c r="M30" s="108"/>
      <c r="N30" s="108"/>
      <c r="O30" s="108"/>
      <c r="P30" s="108"/>
      <c r="Q30" s="108"/>
      <c r="R30" s="108"/>
      <c r="S30" s="108"/>
      <c r="T30" s="108"/>
      <c r="U30" s="108"/>
      <c r="V30" s="108"/>
      <c r="W30" s="108"/>
      <c r="X30" s="108"/>
      <c r="Y30" s="108"/>
      <c r="Z30" s="108"/>
      <c r="AA30" s="108"/>
      <c r="AB30" s="108"/>
      <c r="AC30" s="108"/>
      <c r="AD30" s="108"/>
      <c r="AE30" s="108"/>
      <c r="AF30" s="108"/>
      <c r="AG30" s="108"/>
      <c r="AH30" s="108"/>
      <c r="AI30" s="108"/>
      <c r="AJ30" s="108"/>
      <c r="AK30" s="108"/>
      <c r="AL30" s="108"/>
      <c r="AM30" s="108"/>
      <c r="AN30" s="108"/>
      <c r="AO30" s="108"/>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8"/>
      <c r="BO30" s="108"/>
      <c r="BP30" s="108"/>
      <c r="BQ30" s="108"/>
      <c r="BR30" s="108"/>
      <c r="BS30" s="108"/>
      <c r="BT30" s="108"/>
      <c r="BU30" s="108"/>
      <c r="BV30" s="108"/>
      <c r="BW30" s="108"/>
      <c r="BX30" s="108"/>
      <c r="BY30" s="108"/>
      <c r="BZ30" s="108"/>
      <c r="CA30" s="108"/>
      <c r="CB30" s="108"/>
      <c r="CC30" s="108"/>
      <c r="CD30" s="108"/>
    </row>
    <row r="31" spans="1:89" ht="18.75" hidden="1" customHeight="1" x14ac:dyDescent="0.45">
      <c r="A31" s="109"/>
      <c r="B31" s="167"/>
      <c r="C31" s="104"/>
      <c r="D31" s="105" t="str">
        <f>IF(ISERROR(VLOOKUP(C31,Level,2,0)),"",VLOOKUP(C31,Level,2,0))</f>
        <v/>
      </c>
      <c r="E31" s="163">
        <f>IF(ISERROR(VLOOKUP(D31, LevelRates,2,FALSE)),0,VLOOKUP(D31, LevelRates,2,FALSE))</f>
        <v>0</v>
      </c>
      <c r="F31" s="112">
        <f>E31*O$2</f>
        <v>0</v>
      </c>
      <c r="G31" s="164"/>
      <c r="H31" s="106">
        <f t="shared" si="5"/>
        <v>0</v>
      </c>
      <c r="I31" s="165">
        <f>F31*L31</f>
        <v>0</v>
      </c>
      <c r="J31" s="165">
        <f>G31*L31</f>
        <v>0</v>
      </c>
      <c r="K31" s="165">
        <f>H31*L31</f>
        <v>0</v>
      </c>
      <c r="L31" s="107">
        <f>SUM(M31:CJ31)</f>
        <v>0</v>
      </c>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c r="BS31" s="108"/>
      <c r="BT31" s="108"/>
      <c r="BU31" s="108"/>
      <c r="BV31" s="108"/>
      <c r="BW31" s="108"/>
      <c r="BX31" s="108"/>
      <c r="BY31" s="108"/>
      <c r="BZ31" s="108"/>
      <c r="CA31" s="108"/>
      <c r="CB31" s="108"/>
      <c r="CC31" s="108"/>
      <c r="CD31" s="108"/>
    </row>
    <row r="32" spans="1:89" s="76" customFormat="1" ht="13.35" thickBot="1" x14ac:dyDescent="0.5">
      <c r="A32" s="127"/>
      <c r="B32" s="127"/>
      <c r="C32" s="127"/>
      <c r="D32" s="127"/>
      <c r="E32" s="128"/>
      <c r="F32" s="127"/>
      <c r="G32" s="127"/>
      <c r="H32" s="168" t="s">
        <v>183</v>
      </c>
      <c r="I32" s="169">
        <f>SUM(I8:I31)</f>
        <v>0</v>
      </c>
      <c r="J32" s="169">
        <f>SUM(J8:J31)</f>
        <v>0</v>
      </c>
      <c r="K32" s="169">
        <f>SUM(K8:K31)</f>
        <v>0</v>
      </c>
      <c r="L32" s="170">
        <f>SUM(L8:L31)</f>
        <v>0</v>
      </c>
      <c r="M32" s="171"/>
      <c r="N32" s="171"/>
      <c r="O32" s="171"/>
      <c r="P32" s="171"/>
      <c r="Q32" s="171"/>
      <c r="R32" s="171"/>
      <c r="S32" s="171"/>
      <c r="T32" s="171"/>
      <c r="U32" s="171"/>
      <c r="V32" s="171"/>
      <c r="W32" s="171"/>
      <c r="X32" s="171"/>
      <c r="Y32" s="127"/>
      <c r="Z32" s="127"/>
      <c r="AA32" s="127"/>
      <c r="AB32" s="127"/>
      <c r="AC32" s="127"/>
      <c r="AD32" s="127"/>
      <c r="AE32" s="127"/>
      <c r="AF32" s="127"/>
      <c r="AG32" s="127"/>
      <c r="AH32" s="127"/>
      <c r="AI32" s="127"/>
      <c r="AJ32" s="127"/>
      <c r="AK32" s="127"/>
      <c r="AL32" s="127"/>
      <c r="AM32" s="127"/>
      <c r="AN32" s="127"/>
      <c r="AO32" s="127"/>
      <c r="AP32" s="127"/>
      <c r="AQ32" s="127"/>
      <c r="AR32" s="127"/>
      <c r="AS32" s="127"/>
      <c r="AT32" s="127"/>
      <c r="AU32" s="127"/>
      <c r="AV32" s="127"/>
      <c r="AW32" s="127"/>
      <c r="AX32" s="127"/>
      <c r="AY32" s="127"/>
      <c r="AZ32" s="127"/>
      <c r="BA32" s="127"/>
      <c r="BB32" s="127"/>
      <c r="BC32" s="127"/>
      <c r="BD32" s="127"/>
      <c r="BE32" s="127"/>
      <c r="BF32" s="127"/>
      <c r="BG32" s="127"/>
      <c r="BH32" s="127"/>
      <c r="BI32" s="127"/>
      <c r="BJ32" s="127"/>
      <c r="BK32" s="127"/>
      <c r="BL32" s="172"/>
      <c r="BM32" s="172"/>
      <c r="BN32" s="172"/>
      <c r="BO32" s="172"/>
      <c r="BP32" s="172"/>
      <c r="BQ32" s="172"/>
      <c r="BR32" s="172"/>
      <c r="BS32" s="172"/>
      <c r="BT32" s="172"/>
      <c r="BU32" s="172"/>
      <c r="BV32" s="172"/>
      <c r="BW32" s="172"/>
      <c r="BX32" s="172"/>
      <c r="BY32" s="172"/>
      <c r="BZ32" s="172"/>
      <c r="CA32" s="172"/>
      <c r="CB32" s="172"/>
      <c r="CC32" s="172"/>
      <c r="CD32" s="172"/>
      <c r="CE32" s="173"/>
      <c r="CF32" s="173"/>
      <c r="CG32" s="173"/>
      <c r="CH32" s="173"/>
      <c r="CI32" s="173"/>
      <c r="CJ32" s="173"/>
      <c r="CK32" s="173"/>
    </row>
    <row r="33" spans="1:89" s="76" customFormat="1" ht="13.35" thickBot="1" x14ac:dyDescent="0.5">
      <c r="A33" s="116"/>
      <c r="B33" s="117"/>
      <c r="C33" s="117"/>
      <c r="D33" s="117"/>
      <c r="E33" s="121"/>
      <c r="F33" s="119"/>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20"/>
      <c r="BK33" s="119"/>
      <c r="BL33" s="174"/>
      <c r="BM33" s="174"/>
      <c r="BN33" s="174"/>
      <c r="BO33" s="174"/>
      <c r="BP33" s="174"/>
      <c r="BQ33" s="174"/>
      <c r="BR33" s="174"/>
      <c r="BS33" s="174"/>
      <c r="BT33" s="174"/>
      <c r="BU33" s="174"/>
      <c r="BV33" s="174"/>
      <c r="BW33" s="174"/>
      <c r="BX33" s="174"/>
      <c r="BY33" s="174"/>
      <c r="BZ33" s="174"/>
      <c r="CA33" s="174"/>
      <c r="CB33" s="174"/>
      <c r="CC33" s="174"/>
      <c r="CD33" s="174"/>
      <c r="CE33" s="175"/>
      <c r="CF33" s="175"/>
      <c r="CG33" s="175"/>
      <c r="CH33" s="175"/>
      <c r="CI33" s="173"/>
      <c r="CJ33" s="173"/>
      <c r="CK33" s="173"/>
    </row>
    <row r="34" spans="1:89" s="101" customFormat="1" ht="15" customHeight="1" x14ac:dyDescent="0.45">
      <c r="A34" s="279" t="s">
        <v>356</v>
      </c>
      <c r="B34" s="261" t="s">
        <v>542</v>
      </c>
      <c r="C34" s="261" t="s">
        <v>476</v>
      </c>
      <c r="D34" s="261" t="s">
        <v>0</v>
      </c>
      <c r="E34" s="283"/>
      <c r="F34" s="261" t="s">
        <v>268</v>
      </c>
      <c r="G34" s="261" t="s">
        <v>269</v>
      </c>
      <c r="H34" s="261" t="s">
        <v>274</v>
      </c>
      <c r="I34" s="261" t="s">
        <v>28</v>
      </c>
      <c r="J34" s="261" t="s">
        <v>273</v>
      </c>
      <c r="K34" s="261" t="s">
        <v>27</v>
      </c>
      <c r="L34" s="261" t="s">
        <v>271</v>
      </c>
      <c r="M34" s="263" t="s">
        <v>2</v>
      </c>
      <c r="N34" s="263" t="s">
        <v>3</v>
      </c>
      <c r="O34" s="263" t="s">
        <v>4</v>
      </c>
      <c r="P34" s="263" t="s">
        <v>5</v>
      </c>
      <c r="Q34" s="263" t="s">
        <v>6</v>
      </c>
      <c r="R34" s="263" t="s">
        <v>7</v>
      </c>
      <c r="S34" s="263" t="s">
        <v>8</v>
      </c>
      <c r="T34" s="263" t="s">
        <v>9</v>
      </c>
      <c r="U34" s="263" t="s">
        <v>10</v>
      </c>
      <c r="V34" s="263" t="s">
        <v>11</v>
      </c>
      <c r="W34" s="263" t="s">
        <v>12</v>
      </c>
      <c r="X34" s="263" t="s">
        <v>13</v>
      </c>
      <c r="Y34" s="263" t="s">
        <v>14</v>
      </c>
      <c r="Z34" s="263" t="s">
        <v>15</v>
      </c>
      <c r="AA34" s="263" t="s">
        <v>16</v>
      </c>
      <c r="AB34" s="263" t="s">
        <v>17</v>
      </c>
      <c r="AC34" s="263" t="s">
        <v>18</v>
      </c>
      <c r="AD34" s="263" t="s">
        <v>19</v>
      </c>
      <c r="AE34" s="263" t="s">
        <v>20</v>
      </c>
      <c r="AF34" s="263" t="s">
        <v>21</v>
      </c>
      <c r="AG34" s="263" t="s">
        <v>22</v>
      </c>
      <c r="AH34" s="263" t="s">
        <v>23</v>
      </c>
      <c r="AI34" s="263" t="s">
        <v>24</v>
      </c>
      <c r="AJ34" s="263" t="s">
        <v>25</v>
      </c>
      <c r="AK34" s="263" t="s">
        <v>61</v>
      </c>
      <c r="AL34" s="263" t="s">
        <v>62</v>
      </c>
      <c r="AM34" s="263" t="s">
        <v>63</v>
      </c>
      <c r="AN34" s="263" t="s">
        <v>64</v>
      </c>
      <c r="AO34" s="263" t="s">
        <v>65</v>
      </c>
      <c r="AP34" s="263" t="s">
        <v>66</v>
      </c>
      <c r="AQ34" s="263" t="s">
        <v>67</v>
      </c>
      <c r="AR34" s="263" t="s">
        <v>68</v>
      </c>
      <c r="AS34" s="263" t="s">
        <v>69</v>
      </c>
      <c r="AT34" s="263" t="s">
        <v>70</v>
      </c>
      <c r="AU34" s="263" t="s">
        <v>71</v>
      </c>
      <c r="AV34" s="263" t="s">
        <v>72</v>
      </c>
      <c r="AW34" s="263" t="s">
        <v>73</v>
      </c>
      <c r="AX34" s="263" t="s">
        <v>74</v>
      </c>
      <c r="AY34" s="263" t="s">
        <v>75</v>
      </c>
      <c r="AZ34" s="263" t="s">
        <v>76</v>
      </c>
      <c r="BA34" s="263" t="s">
        <v>77</v>
      </c>
      <c r="BB34" s="263" t="s">
        <v>78</v>
      </c>
      <c r="BC34" s="263" t="s">
        <v>79</v>
      </c>
      <c r="BD34" s="263" t="s">
        <v>80</v>
      </c>
      <c r="BE34" s="263" t="s">
        <v>81</v>
      </c>
      <c r="BF34" s="263" t="s">
        <v>82</v>
      </c>
      <c r="BG34" s="263" t="s">
        <v>83</v>
      </c>
      <c r="BH34" s="263" t="s">
        <v>84</v>
      </c>
      <c r="BI34" s="263" t="s">
        <v>85</v>
      </c>
      <c r="BJ34" s="263" t="s">
        <v>86</v>
      </c>
      <c r="BK34" s="263" t="s">
        <v>87</v>
      </c>
      <c r="BL34" s="263" t="s">
        <v>88</v>
      </c>
      <c r="BM34" s="263" t="s">
        <v>195</v>
      </c>
      <c r="BN34" s="263" t="s">
        <v>196</v>
      </c>
      <c r="BO34" s="263" t="s">
        <v>197</v>
      </c>
      <c r="BP34" s="263" t="s">
        <v>198</v>
      </c>
      <c r="BQ34" s="263" t="s">
        <v>199</v>
      </c>
      <c r="BR34" s="263" t="s">
        <v>200</v>
      </c>
      <c r="BS34" s="263" t="s">
        <v>201</v>
      </c>
      <c r="BT34" s="263" t="s">
        <v>202</v>
      </c>
      <c r="BU34" s="263" t="s">
        <v>203</v>
      </c>
      <c r="BV34" s="263" t="s">
        <v>204</v>
      </c>
      <c r="BW34" s="263" t="s">
        <v>205</v>
      </c>
      <c r="BX34" s="263" t="s">
        <v>206</v>
      </c>
      <c r="BY34" s="263" t="s">
        <v>207</v>
      </c>
      <c r="BZ34" s="263" t="s">
        <v>208</v>
      </c>
      <c r="CA34" s="263" t="s">
        <v>209</v>
      </c>
      <c r="CB34" s="263" t="s">
        <v>210</v>
      </c>
      <c r="CC34" s="263" t="s">
        <v>211</v>
      </c>
      <c r="CD34" s="263" t="s">
        <v>212</v>
      </c>
      <c r="CE34" s="285" t="s">
        <v>213</v>
      </c>
      <c r="CF34" s="285" t="s">
        <v>214</v>
      </c>
      <c r="CG34" s="285" t="s">
        <v>215</v>
      </c>
      <c r="CH34" s="285" t="s">
        <v>216</v>
      </c>
      <c r="CI34" s="285" t="s">
        <v>217</v>
      </c>
      <c r="CJ34" s="285" t="s">
        <v>218</v>
      </c>
      <c r="CK34" s="176"/>
    </row>
    <row r="35" spans="1:89" s="101" customFormat="1" ht="28.2" customHeight="1" thickBot="1" x14ac:dyDescent="0.5">
      <c r="A35" s="280"/>
      <c r="B35" s="262"/>
      <c r="C35" s="262"/>
      <c r="D35" s="262"/>
      <c r="E35" s="284"/>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2"/>
      <c r="AI35" s="262"/>
      <c r="AJ35" s="262"/>
      <c r="AK35" s="262"/>
      <c r="AL35" s="262"/>
      <c r="AM35" s="262"/>
      <c r="AN35" s="262"/>
      <c r="AO35" s="262"/>
      <c r="AP35" s="262"/>
      <c r="AQ35" s="262"/>
      <c r="AR35" s="262"/>
      <c r="AS35" s="262"/>
      <c r="AT35" s="262"/>
      <c r="AU35" s="262"/>
      <c r="AV35" s="262"/>
      <c r="AW35" s="262"/>
      <c r="AX35" s="262"/>
      <c r="AY35" s="262"/>
      <c r="AZ35" s="262"/>
      <c r="BA35" s="262"/>
      <c r="BB35" s="262"/>
      <c r="BC35" s="262"/>
      <c r="BD35" s="262"/>
      <c r="BE35" s="262"/>
      <c r="BF35" s="262"/>
      <c r="BG35" s="262"/>
      <c r="BH35" s="262"/>
      <c r="BI35" s="262"/>
      <c r="BJ35" s="262"/>
      <c r="BK35" s="262"/>
      <c r="BL35" s="262"/>
      <c r="BM35" s="262"/>
      <c r="BN35" s="262"/>
      <c r="BO35" s="262"/>
      <c r="BP35" s="262"/>
      <c r="BQ35" s="262"/>
      <c r="BR35" s="262"/>
      <c r="BS35" s="262"/>
      <c r="BT35" s="262"/>
      <c r="BU35" s="262"/>
      <c r="BV35" s="262"/>
      <c r="BW35" s="262"/>
      <c r="BX35" s="262"/>
      <c r="BY35" s="262"/>
      <c r="BZ35" s="262"/>
      <c r="CA35" s="262"/>
      <c r="CB35" s="262"/>
      <c r="CC35" s="262"/>
      <c r="CD35" s="262"/>
      <c r="CE35" s="285"/>
      <c r="CF35" s="285"/>
      <c r="CG35" s="285"/>
      <c r="CH35" s="285"/>
      <c r="CI35" s="285"/>
      <c r="CJ35" s="285"/>
      <c r="CK35" s="176"/>
    </row>
    <row r="36" spans="1:89" ht="15" customHeight="1" x14ac:dyDescent="0.45">
      <c r="A36" s="109"/>
      <c r="B36" s="167" t="s">
        <v>353</v>
      </c>
      <c r="C36" s="104"/>
      <c r="D36" s="124" t="str">
        <f t="shared" ref="D36:D46" si="11">IF(ISERROR(VLOOKUP(C36,LevelNearShore,2,0)),"",VLOOKUP(C36,LevelNearShore,2,0))</f>
        <v/>
      </c>
      <c r="E36" s="177">
        <f t="shared" ref="E36:E46" si="12">IF(ISERROR(VLOOKUP(D36, LevelRates,2,FALSE)),0,VLOOKUP(D36, LevelRates,2,FALSE))</f>
        <v>0</v>
      </c>
      <c r="F36" s="112">
        <f>E36*O$2</f>
        <v>0</v>
      </c>
      <c r="G36" s="164">
        <f>F36</f>
        <v>0</v>
      </c>
      <c r="H36" s="178">
        <f>G36-F36</f>
        <v>0</v>
      </c>
      <c r="I36" s="178">
        <f>$F36*$L36</f>
        <v>0</v>
      </c>
      <c r="J36" s="106">
        <f>$G36*$L36</f>
        <v>0</v>
      </c>
      <c r="K36" s="106">
        <f>J36</f>
        <v>0</v>
      </c>
      <c r="L36" s="107">
        <f>SUM(M36:CJ36)</f>
        <v>0</v>
      </c>
      <c r="M36" s="108"/>
      <c r="N36" s="108"/>
      <c r="O36" s="108"/>
      <c r="P36" s="108"/>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c r="AN36" s="108"/>
      <c r="AO36" s="108"/>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8"/>
      <c r="BO36" s="108"/>
      <c r="BP36" s="108"/>
      <c r="BQ36" s="108"/>
      <c r="BR36" s="108"/>
      <c r="BS36" s="108"/>
      <c r="BT36" s="108"/>
      <c r="BU36" s="108"/>
      <c r="BV36" s="108"/>
      <c r="BW36" s="108"/>
      <c r="BX36" s="108"/>
      <c r="BY36" s="108"/>
      <c r="BZ36" s="108"/>
      <c r="CA36" s="108"/>
      <c r="CB36" s="108"/>
      <c r="CC36" s="108"/>
      <c r="CD36" s="108"/>
      <c r="CE36" s="179"/>
      <c r="CF36" s="179"/>
      <c r="CG36" s="179"/>
      <c r="CH36" s="179"/>
      <c r="CI36" s="179"/>
      <c r="CJ36" s="179"/>
      <c r="CK36" s="180"/>
    </row>
    <row r="37" spans="1:89" ht="15" customHeight="1" x14ac:dyDescent="0.45">
      <c r="A37" s="109"/>
      <c r="B37" s="167" t="s">
        <v>353</v>
      </c>
      <c r="C37" s="104"/>
      <c r="D37" s="124" t="str">
        <f t="shared" si="11"/>
        <v/>
      </c>
      <c r="E37" s="177">
        <f t="shared" si="12"/>
        <v>0</v>
      </c>
      <c r="F37" s="112">
        <f>E37*O$2</f>
        <v>0</v>
      </c>
      <c r="G37" s="164">
        <f>F37</f>
        <v>0</v>
      </c>
      <c r="H37" s="106">
        <f>G37-F37</f>
        <v>0</v>
      </c>
      <c r="I37" s="106">
        <f t="shared" ref="I37:I44" si="13">$F37*$L37</f>
        <v>0</v>
      </c>
      <c r="J37" s="106">
        <f t="shared" ref="J37:J44" si="14">$G37*$L37</f>
        <v>0</v>
      </c>
      <c r="K37" s="106">
        <f>J37</f>
        <v>0</v>
      </c>
      <c r="L37" s="107">
        <f>SUM(M37:CJ37)</f>
        <v>0</v>
      </c>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8"/>
      <c r="BO37" s="108"/>
      <c r="BP37" s="108"/>
      <c r="BQ37" s="108"/>
      <c r="BR37" s="108"/>
      <c r="BS37" s="108"/>
      <c r="BT37" s="108"/>
      <c r="BU37" s="108"/>
      <c r="BV37" s="108"/>
      <c r="BW37" s="108"/>
      <c r="BX37" s="108"/>
      <c r="BY37" s="108"/>
      <c r="BZ37" s="108"/>
      <c r="CA37" s="108"/>
      <c r="CB37" s="108"/>
      <c r="CC37" s="108"/>
      <c r="CD37" s="108"/>
      <c r="CE37" s="179"/>
      <c r="CF37" s="179"/>
      <c r="CG37" s="179"/>
      <c r="CH37" s="179"/>
      <c r="CI37" s="179"/>
      <c r="CJ37" s="179"/>
      <c r="CK37" s="180"/>
    </row>
    <row r="38" spans="1:89" ht="15" customHeight="1" x14ac:dyDescent="0.45">
      <c r="A38" s="109"/>
      <c r="B38" s="167" t="s">
        <v>353</v>
      </c>
      <c r="C38" s="104"/>
      <c r="D38" s="124" t="str">
        <f t="shared" si="11"/>
        <v/>
      </c>
      <c r="E38" s="177">
        <f t="shared" si="12"/>
        <v>0</v>
      </c>
      <c r="F38" s="112">
        <f t="shared" ref="F38:F43" si="15">E38*O$2</f>
        <v>0</v>
      </c>
      <c r="G38" s="164">
        <f t="shared" ref="G38:G43" si="16">F38</f>
        <v>0</v>
      </c>
      <c r="H38" s="106">
        <f t="shared" ref="H38:H43" si="17">G38-F38</f>
        <v>0</v>
      </c>
      <c r="I38" s="106">
        <f t="shared" si="13"/>
        <v>0</v>
      </c>
      <c r="J38" s="106">
        <f t="shared" si="14"/>
        <v>0</v>
      </c>
      <c r="K38" s="106">
        <f t="shared" ref="K38:K43" si="18">J38</f>
        <v>0</v>
      </c>
      <c r="L38" s="107">
        <f t="shared" ref="L38:L43" si="19">SUM(M38:CJ38)</f>
        <v>0</v>
      </c>
      <c r="M38" s="108"/>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8"/>
      <c r="BO38" s="108"/>
      <c r="BP38" s="108"/>
      <c r="BQ38" s="108"/>
      <c r="BR38" s="108"/>
      <c r="BS38" s="108"/>
      <c r="BT38" s="108"/>
      <c r="BU38" s="108"/>
      <c r="BV38" s="108"/>
      <c r="BW38" s="108"/>
      <c r="BX38" s="108"/>
      <c r="BY38" s="108"/>
      <c r="BZ38" s="108"/>
      <c r="CA38" s="108"/>
      <c r="CB38" s="108"/>
      <c r="CC38" s="108"/>
      <c r="CD38" s="108"/>
      <c r="CE38" s="179"/>
      <c r="CF38" s="179"/>
      <c r="CG38" s="179"/>
      <c r="CH38" s="179"/>
      <c r="CI38" s="179"/>
      <c r="CJ38" s="179"/>
      <c r="CK38" s="180"/>
    </row>
    <row r="39" spans="1:89" ht="15" customHeight="1" x14ac:dyDescent="0.45">
      <c r="A39" s="109"/>
      <c r="B39" s="167" t="s">
        <v>353</v>
      </c>
      <c r="C39" s="123"/>
      <c r="D39" s="124" t="str">
        <f t="shared" si="11"/>
        <v/>
      </c>
      <c r="E39" s="177">
        <f t="shared" si="12"/>
        <v>0</v>
      </c>
      <c r="F39" s="112">
        <f t="shared" si="15"/>
        <v>0</v>
      </c>
      <c r="G39" s="164">
        <f t="shared" si="16"/>
        <v>0</v>
      </c>
      <c r="H39" s="106">
        <f t="shared" si="17"/>
        <v>0</v>
      </c>
      <c r="I39" s="106">
        <f t="shared" si="13"/>
        <v>0</v>
      </c>
      <c r="J39" s="106">
        <f t="shared" si="14"/>
        <v>0</v>
      </c>
      <c r="K39" s="106">
        <f t="shared" si="18"/>
        <v>0</v>
      </c>
      <c r="L39" s="107">
        <f t="shared" si="19"/>
        <v>0</v>
      </c>
      <c r="M39" s="108"/>
      <c r="N39" s="108"/>
      <c r="O39" s="108"/>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8"/>
      <c r="BO39" s="108"/>
      <c r="BP39" s="108"/>
      <c r="BQ39" s="108"/>
      <c r="BR39" s="108"/>
      <c r="BS39" s="108"/>
      <c r="BT39" s="108"/>
      <c r="BU39" s="108"/>
      <c r="BV39" s="108"/>
      <c r="BW39" s="108"/>
      <c r="BX39" s="108"/>
      <c r="BY39" s="108"/>
      <c r="BZ39" s="108"/>
      <c r="CA39" s="108"/>
      <c r="CB39" s="108"/>
      <c r="CC39" s="108"/>
      <c r="CD39" s="108"/>
      <c r="CE39" s="179"/>
      <c r="CF39" s="179"/>
      <c r="CG39" s="179"/>
      <c r="CH39" s="179"/>
      <c r="CI39" s="179"/>
      <c r="CJ39" s="179"/>
      <c r="CK39" s="180"/>
    </row>
    <row r="40" spans="1:89" ht="15" customHeight="1" x14ac:dyDescent="0.45">
      <c r="A40" s="109"/>
      <c r="B40" s="167"/>
      <c r="C40" s="123"/>
      <c r="D40" s="124" t="str">
        <f t="shared" si="11"/>
        <v/>
      </c>
      <c r="E40" s="177">
        <f t="shared" si="12"/>
        <v>0</v>
      </c>
      <c r="F40" s="112">
        <f t="shared" si="15"/>
        <v>0</v>
      </c>
      <c r="G40" s="164">
        <f t="shared" si="16"/>
        <v>0</v>
      </c>
      <c r="H40" s="106">
        <f t="shared" si="17"/>
        <v>0</v>
      </c>
      <c r="I40" s="106">
        <f t="shared" si="13"/>
        <v>0</v>
      </c>
      <c r="J40" s="106">
        <f t="shared" si="14"/>
        <v>0</v>
      </c>
      <c r="K40" s="106">
        <f t="shared" si="18"/>
        <v>0</v>
      </c>
      <c r="L40" s="107">
        <f t="shared" si="19"/>
        <v>0</v>
      </c>
      <c r="M40" s="108"/>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8"/>
      <c r="BO40" s="108"/>
      <c r="BP40" s="108"/>
      <c r="BQ40" s="108"/>
      <c r="BR40" s="108"/>
      <c r="BS40" s="108"/>
      <c r="BT40" s="108"/>
      <c r="BU40" s="108"/>
      <c r="BV40" s="108"/>
      <c r="BW40" s="108"/>
      <c r="BX40" s="108"/>
      <c r="BY40" s="108"/>
      <c r="BZ40" s="108"/>
      <c r="CA40" s="108"/>
      <c r="CB40" s="108"/>
      <c r="CC40" s="108"/>
      <c r="CD40" s="108"/>
      <c r="CE40" s="179"/>
      <c r="CF40" s="179"/>
      <c r="CG40" s="179"/>
      <c r="CH40" s="179"/>
      <c r="CI40" s="179"/>
      <c r="CJ40" s="179"/>
      <c r="CK40" s="180"/>
    </row>
    <row r="41" spans="1:89" ht="15" customHeight="1" x14ac:dyDescent="0.45">
      <c r="A41" s="109"/>
      <c r="B41" s="167"/>
      <c r="C41" s="123"/>
      <c r="D41" s="124" t="str">
        <f t="shared" si="11"/>
        <v/>
      </c>
      <c r="E41" s="177">
        <f t="shared" si="12"/>
        <v>0</v>
      </c>
      <c r="F41" s="112">
        <f t="shared" si="15"/>
        <v>0</v>
      </c>
      <c r="G41" s="164">
        <f t="shared" si="16"/>
        <v>0</v>
      </c>
      <c r="H41" s="106">
        <f t="shared" si="17"/>
        <v>0</v>
      </c>
      <c r="I41" s="106">
        <f t="shared" si="13"/>
        <v>0</v>
      </c>
      <c r="J41" s="106">
        <f t="shared" si="14"/>
        <v>0</v>
      </c>
      <c r="K41" s="106">
        <f t="shared" si="18"/>
        <v>0</v>
      </c>
      <c r="L41" s="107">
        <f t="shared" si="19"/>
        <v>0</v>
      </c>
      <c r="M41" s="108"/>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c r="AN41" s="108"/>
      <c r="AO41" s="108"/>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c r="BY41" s="108"/>
      <c r="BZ41" s="108"/>
      <c r="CA41" s="108"/>
      <c r="CB41" s="108"/>
      <c r="CC41" s="108"/>
      <c r="CD41" s="108"/>
      <c r="CE41" s="179"/>
      <c r="CF41" s="179"/>
      <c r="CG41" s="179"/>
      <c r="CH41" s="179"/>
      <c r="CI41" s="179"/>
      <c r="CJ41" s="179"/>
      <c r="CK41" s="180"/>
    </row>
    <row r="42" spans="1:89" ht="15" customHeight="1" x14ac:dyDescent="0.45">
      <c r="A42" s="109"/>
      <c r="B42" s="167"/>
      <c r="C42" s="123"/>
      <c r="D42" s="124" t="str">
        <f t="shared" si="11"/>
        <v/>
      </c>
      <c r="E42" s="177">
        <f t="shared" si="12"/>
        <v>0</v>
      </c>
      <c r="F42" s="112">
        <f t="shared" si="15"/>
        <v>0</v>
      </c>
      <c r="G42" s="164">
        <f t="shared" si="16"/>
        <v>0</v>
      </c>
      <c r="H42" s="106">
        <f t="shared" si="17"/>
        <v>0</v>
      </c>
      <c r="I42" s="106">
        <f t="shared" si="13"/>
        <v>0</v>
      </c>
      <c r="J42" s="106">
        <f t="shared" si="14"/>
        <v>0</v>
      </c>
      <c r="K42" s="106">
        <f t="shared" si="18"/>
        <v>0</v>
      </c>
      <c r="L42" s="107">
        <f t="shared" si="19"/>
        <v>0</v>
      </c>
      <c r="M42" s="108"/>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8"/>
      <c r="BO42" s="108"/>
      <c r="BP42" s="108"/>
      <c r="BQ42" s="108"/>
      <c r="BR42" s="108"/>
      <c r="BS42" s="108"/>
      <c r="BT42" s="108"/>
      <c r="BU42" s="108"/>
      <c r="BV42" s="108"/>
      <c r="BW42" s="108"/>
      <c r="BX42" s="108"/>
      <c r="BY42" s="108"/>
      <c r="BZ42" s="108"/>
      <c r="CA42" s="108"/>
      <c r="CB42" s="108"/>
      <c r="CC42" s="108"/>
      <c r="CD42" s="108"/>
      <c r="CE42" s="179"/>
      <c r="CF42" s="179"/>
      <c r="CG42" s="179"/>
      <c r="CH42" s="179"/>
      <c r="CI42" s="179"/>
      <c r="CJ42" s="179"/>
      <c r="CK42" s="180"/>
    </row>
    <row r="43" spans="1:89" ht="15" customHeight="1" x14ac:dyDescent="0.45">
      <c r="A43" s="109"/>
      <c r="B43" s="167"/>
      <c r="C43" s="123"/>
      <c r="D43" s="124" t="str">
        <f t="shared" si="11"/>
        <v/>
      </c>
      <c r="E43" s="177">
        <f t="shared" si="12"/>
        <v>0</v>
      </c>
      <c r="F43" s="112">
        <f t="shared" si="15"/>
        <v>0</v>
      </c>
      <c r="G43" s="164">
        <f t="shared" si="16"/>
        <v>0</v>
      </c>
      <c r="H43" s="106">
        <f t="shared" si="17"/>
        <v>0</v>
      </c>
      <c r="I43" s="106">
        <f t="shared" si="13"/>
        <v>0</v>
      </c>
      <c r="J43" s="106">
        <f t="shared" si="14"/>
        <v>0</v>
      </c>
      <c r="K43" s="106">
        <f t="shared" si="18"/>
        <v>0</v>
      </c>
      <c r="L43" s="107">
        <f t="shared" si="19"/>
        <v>0</v>
      </c>
      <c r="M43" s="108"/>
      <c r="N43" s="108"/>
      <c r="O43" s="108"/>
      <c r="P43" s="108"/>
      <c r="Q43" s="108"/>
      <c r="R43" s="108"/>
      <c r="S43" s="108"/>
      <c r="T43" s="108"/>
      <c r="U43" s="108"/>
      <c r="V43" s="108"/>
      <c r="W43" s="108"/>
      <c r="X43" s="108"/>
      <c r="Y43" s="108"/>
      <c r="Z43" s="108"/>
      <c r="AA43" s="108"/>
      <c r="AB43" s="108"/>
      <c r="AC43" s="108"/>
      <c r="AD43" s="108"/>
      <c r="AE43" s="108"/>
      <c r="AF43" s="108"/>
      <c r="AG43" s="108"/>
      <c r="AH43" s="108"/>
      <c r="AI43" s="108"/>
      <c r="AJ43" s="108"/>
      <c r="AK43" s="108"/>
      <c r="AL43" s="108"/>
      <c r="AM43" s="108"/>
      <c r="AN43" s="108"/>
      <c r="AO43" s="108"/>
      <c r="AP43" s="108"/>
      <c r="AQ43" s="108"/>
      <c r="AR43" s="108"/>
      <c r="AS43" s="108"/>
      <c r="AT43" s="108"/>
      <c r="AU43" s="108"/>
      <c r="AV43" s="108"/>
      <c r="AW43" s="108"/>
      <c r="AX43" s="108"/>
      <c r="AY43" s="108"/>
      <c r="AZ43" s="108"/>
      <c r="BA43" s="108"/>
      <c r="BB43" s="108"/>
      <c r="BC43" s="108"/>
      <c r="BD43" s="108"/>
      <c r="BE43" s="108"/>
      <c r="BF43" s="108"/>
      <c r="BG43" s="108"/>
      <c r="BH43" s="108"/>
      <c r="BI43" s="108"/>
      <c r="BJ43" s="108"/>
      <c r="BK43" s="108"/>
      <c r="BL43" s="108"/>
      <c r="BM43" s="108"/>
      <c r="BN43" s="108"/>
      <c r="BO43" s="108"/>
      <c r="BP43" s="108"/>
      <c r="BQ43" s="108"/>
      <c r="BR43" s="108"/>
      <c r="BS43" s="108"/>
      <c r="BT43" s="108"/>
      <c r="BU43" s="108"/>
      <c r="BV43" s="108"/>
      <c r="BW43" s="108"/>
      <c r="BX43" s="108"/>
      <c r="BY43" s="108"/>
      <c r="BZ43" s="108"/>
      <c r="CA43" s="108"/>
      <c r="CB43" s="108"/>
      <c r="CC43" s="108"/>
      <c r="CD43" s="108"/>
      <c r="CE43" s="179"/>
      <c r="CF43" s="179"/>
      <c r="CG43" s="179"/>
      <c r="CH43" s="179"/>
      <c r="CI43" s="179"/>
      <c r="CJ43" s="179"/>
      <c r="CK43" s="180"/>
    </row>
    <row r="44" spans="1:89" ht="15" customHeight="1" x14ac:dyDescent="0.45">
      <c r="A44" s="109"/>
      <c r="B44" s="167"/>
      <c r="C44" s="123"/>
      <c r="D44" s="124" t="str">
        <f t="shared" si="11"/>
        <v/>
      </c>
      <c r="E44" s="177">
        <f t="shared" si="12"/>
        <v>0</v>
      </c>
      <c r="F44" s="112">
        <f>E44*O$2</f>
        <v>0</v>
      </c>
      <c r="G44" s="164">
        <f>F44</f>
        <v>0</v>
      </c>
      <c r="H44" s="106">
        <f>G44-F44</f>
        <v>0</v>
      </c>
      <c r="I44" s="112">
        <f t="shared" si="13"/>
        <v>0</v>
      </c>
      <c r="J44" s="112">
        <f t="shared" si="14"/>
        <v>0</v>
      </c>
      <c r="K44" s="106">
        <f>J44</f>
        <v>0</v>
      </c>
      <c r="L44" s="113">
        <f>SUM(M44:CJ44)</f>
        <v>0</v>
      </c>
      <c r="M44" s="108"/>
      <c r="N44" s="108"/>
      <c r="O44" s="108"/>
      <c r="P44" s="108"/>
      <c r="Q44" s="108"/>
      <c r="R44" s="108"/>
      <c r="S44" s="108"/>
      <c r="T44" s="108"/>
      <c r="U44" s="108"/>
      <c r="V44" s="108"/>
      <c r="W44" s="108"/>
      <c r="X44" s="108"/>
      <c r="Y44" s="108"/>
      <c r="Z44" s="108"/>
      <c r="AA44" s="108"/>
      <c r="AB44" s="108"/>
      <c r="AC44" s="108"/>
      <c r="AD44" s="108"/>
      <c r="AE44" s="108"/>
      <c r="AF44" s="108"/>
      <c r="AG44" s="108"/>
      <c r="AH44" s="108"/>
      <c r="AI44" s="108"/>
      <c r="AJ44" s="108"/>
      <c r="AK44" s="108"/>
      <c r="AL44" s="108"/>
      <c r="AM44" s="108"/>
      <c r="AN44" s="108"/>
      <c r="AO44" s="108"/>
      <c r="AP44" s="108"/>
      <c r="AQ44" s="108"/>
      <c r="AR44" s="108"/>
      <c r="AS44" s="108"/>
      <c r="AT44" s="108"/>
      <c r="AU44" s="108"/>
      <c r="AV44" s="108"/>
      <c r="AW44" s="108"/>
      <c r="AX44" s="108"/>
      <c r="AY44" s="108"/>
      <c r="AZ44" s="108"/>
      <c r="BA44" s="108"/>
      <c r="BB44" s="108"/>
      <c r="BC44" s="108"/>
      <c r="BD44" s="108"/>
      <c r="BE44" s="108"/>
      <c r="BF44" s="108"/>
      <c r="BG44" s="108"/>
      <c r="BH44" s="108"/>
      <c r="BI44" s="108"/>
      <c r="BJ44" s="108"/>
      <c r="BK44" s="108"/>
      <c r="BL44" s="108"/>
      <c r="BM44" s="108"/>
      <c r="BN44" s="108"/>
      <c r="BO44" s="108"/>
      <c r="BP44" s="108"/>
      <c r="BQ44" s="108"/>
      <c r="BR44" s="108"/>
      <c r="BS44" s="108"/>
      <c r="BT44" s="108"/>
      <c r="BU44" s="108"/>
      <c r="BV44" s="108"/>
      <c r="BW44" s="108"/>
      <c r="BX44" s="108"/>
      <c r="BY44" s="108"/>
      <c r="BZ44" s="108"/>
      <c r="CA44" s="108"/>
      <c r="CB44" s="108"/>
      <c r="CC44" s="108"/>
      <c r="CD44" s="108"/>
      <c r="CE44" s="179"/>
      <c r="CF44" s="179"/>
      <c r="CG44" s="179"/>
      <c r="CH44" s="179"/>
      <c r="CI44" s="179"/>
      <c r="CJ44" s="179"/>
      <c r="CK44" s="180"/>
    </row>
    <row r="45" spans="1:89" ht="15" customHeight="1" thickBot="1" x14ac:dyDescent="0.5">
      <c r="A45" s="109"/>
      <c r="B45" s="167"/>
      <c r="C45" s="123"/>
      <c r="D45" s="124" t="str">
        <f>IF(ISERROR(VLOOKUP(C45,LevelNearShore,2,0)),"",VLOOKUP(C45,LevelNearShore,2,0))</f>
        <v/>
      </c>
      <c r="E45" s="177">
        <f>IF(ISERROR(VLOOKUP(D45, LevelRates,2,FALSE)),0,VLOOKUP(D45, LevelRates,2,FALSE))</f>
        <v>0</v>
      </c>
      <c r="F45" s="112">
        <f>E45*O$2</f>
        <v>0</v>
      </c>
      <c r="G45" s="164">
        <f>F45</f>
        <v>0</v>
      </c>
      <c r="H45" s="106">
        <f>G45-F45</f>
        <v>0</v>
      </c>
      <c r="I45" s="112">
        <f>F45*L45</f>
        <v>0</v>
      </c>
      <c r="J45" s="112">
        <f>G45*L45</f>
        <v>0</v>
      </c>
      <c r="K45" s="106">
        <f>J45</f>
        <v>0</v>
      </c>
      <c r="L45" s="113">
        <f>SUM(M45:BL45)</f>
        <v>0</v>
      </c>
      <c r="M45" s="108"/>
      <c r="N45" s="108"/>
      <c r="O45" s="108"/>
      <c r="P45" s="108"/>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8"/>
      <c r="AN45" s="108"/>
      <c r="AO45" s="108"/>
      <c r="AP45" s="108"/>
      <c r="AQ45" s="108"/>
      <c r="AR45" s="108"/>
      <c r="AS45" s="108"/>
      <c r="AT45" s="108"/>
      <c r="AU45" s="108"/>
      <c r="AV45" s="108"/>
      <c r="AW45" s="108"/>
      <c r="AX45" s="108"/>
      <c r="AY45" s="108"/>
      <c r="AZ45" s="108"/>
      <c r="BA45" s="108"/>
      <c r="BB45" s="108"/>
      <c r="BC45" s="108"/>
      <c r="BD45" s="108"/>
      <c r="BE45" s="108"/>
      <c r="BF45" s="108"/>
      <c r="BG45" s="108"/>
      <c r="BH45" s="108"/>
      <c r="BI45" s="108"/>
      <c r="BJ45" s="108"/>
      <c r="BK45" s="108"/>
      <c r="BL45" s="108"/>
      <c r="BM45" s="108"/>
      <c r="BN45" s="108"/>
      <c r="BO45" s="108"/>
      <c r="BP45" s="108"/>
      <c r="BQ45" s="108"/>
      <c r="BR45" s="108"/>
      <c r="BS45" s="108"/>
      <c r="BT45" s="108"/>
      <c r="BU45" s="108"/>
      <c r="BV45" s="108"/>
      <c r="BW45" s="108"/>
      <c r="BX45" s="108"/>
      <c r="BY45" s="108"/>
      <c r="BZ45" s="108"/>
      <c r="CA45" s="108"/>
      <c r="CB45" s="108"/>
      <c r="CC45" s="108"/>
      <c r="CD45" s="108"/>
    </row>
    <row r="46" spans="1:89" ht="18.75" hidden="1" customHeight="1" thickBot="1" x14ac:dyDescent="0.5">
      <c r="A46" s="109"/>
      <c r="B46" s="167"/>
      <c r="C46" s="123"/>
      <c r="D46" s="124" t="str">
        <f t="shared" si="11"/>
        <v/>
      </c>
      <c r="E46" s="177">
        <f t="shared" si="12"/>
        <v>0</v>
      </c>
      <c r="F46" s="112">
        <f>E46*O$2</f>
        <v>0</v>
      </c>
      <c r="G46" s="164">
        <f>F46</f>
        <v>0</v>
      </c>
      <c r="H46" s="106">
        <f>G46-F46</f>
        <v>0</v>
      </c>
      <c r="I46" s="112">
        <f>F46*L46</f>
        <v>0</v>
      </c>
      <c r="J46" s="112">
        <f>G46*L46</f>
        <v>0</v>
      </c>
      <c r="K46" s="106">
        <f>J46</f>
        <v>0</v>
      </c>
      <c r="L46" s="113">
        <f>SUM(M46:BL46)</f>
        <v>0</v>
      </c>
      <c r="M46" s="108"/>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8"/>
      <c r="BO46" s="108"/>
      <c r="BP46" s="108"/>
      <c r="BQ46" s="108"/>
      <c r="BR46" s="108"/>
      <c r="BS46" s="108"/>
      <c r="BT46" s="108"/>
      <c r="BU46" s="108"/>
      <c r="BV46" s="108"/>
      <c r="BW46" s="108"/>
      <c r="BX46" s="108"/>
      <c r="BY46" s="108"/>
      <c r="BZ46" s="108"/>
      <c r="CA46" s="108"/>
      <c r="CB46" s="108"/>
      <c r="CC46" s="108"/>
      <c r="CD46" s="108"/>
    </row>
    <row r="47" spans="1:89" s="76" customFormat="1" ht="13.35" thickBot="1" x14ac:dyDescent="0.5">
      <c r="A47" s="127"/>
      <c r="B47" s="127"/>
      <c r="C47" s="127"/>
      <c r="D47" s="127"/>
      <c r="E47" s="128"/>
      <c r="F47" s="127"/>
      <c r="G47" s="129" t="s">
        <v>182</v>
      </c>
      <c r="H47" s="130">
        <f>SUM(H36:H46)</f>
        <v>0</v>
      </c>
      <c r="I47" s="130">
        <f>SUM(I36:I46)</f>
        <v>0</v>
      </c>
      <c r="J47" s="130">
        <f>SUM(J36:J46)</f>
        <v>0</v>
      </c>
      <c r="K47" s="130">
        <f>SUM(K36:K46)</f>
        <v>0</v>
      </c>
      <c r="L47" s="131">
        <f>SUM(L36:L46)</f>
        <v>0</v>
      </c>
      <c r="M47" s="127"/>
      <c r="N47" s="127"/>
      <c r="O47" s="127"/>
      <c r="P47" s="127"/>
      <c r="Q47" s="127"/>
      <c r="R47" s="127"/>
      <c r="S47" s="127"/>
      <c r="T47" s="127"/>
      <c r="U47" s="127"/>
      <c r="V47" s="127"/>
      <c r="W47" s="127"/>
      <c r="X47" s="127"/>
      <c r="Y47" s="127"/>
      <c r="Z47" s="127"/>
      <c r="AA47" s="127"/>
      <c r="AB47" s="127"/>
      <c r="AC47" s="127"/>
      <c r="AD47" s="127"/>
      <c r="AE47" s="127"/>
      <c r="AF47" s="127"/>
      <c r="AG47" s="127"/>
      <c r="AH47" s="127"/>
      <c r="AI47" s="127"/>
      <c r="AJ47" s="127"/>
      <c r="AK47" s="127"/>
      <c r="AL47" s="127"/>
      <c r="AM47" s="127"/>
      <c r="AN47" s="127"/>
      <c r="AO47" s="127"/>
      <c r="AP47" s="127"/>
      <c r="AQ47" s="127"/>
      <c r="AR47" s="127"/>
      <c r="AS47" s="127"/>
      <c r="AT47" s="127"/>
      <c r="AU47" s="127"/>
      <c r="AV47" s="127"/>
      <c r="AW47" s="127"/>
      <c r="AX47" s="127"/>
      <c r="AY47" s="127"/>
      <c r="AZ47" s="127"/>
      <c r="BA47" s="127"/>
      <c r="BB47" s="127"/>
      <c r="BC47" s="127"/>
      <c r="BD47" s="127"/>
      <c r="BE47" s="127"/>
      <c r="BF47" s="127"/>
      <c r="BG47" s="127"/>
      <c r="BH47" s="127"/>
      <c r="BI47" s="127"/>
      <c r="BJ47" s="127"/>
      <c r="BK47" s="127"/>
      <c r="BL47" s="181"/>
      <c r="BM47" s="181"/>
      <c r="BN47" s="181"/>
      <c r="BO47" s="181"/>
      <c r="BP47" s="181"/>
      <c r="BQ47" s="181"/>
      <c r="BR47" s="181"/>
      <c r="BS47" s="181"/>
      <c r="BT47" s="181"/>
      <c r="BU47" s="181"/>
      <c r="BV47" s="181"/>
      <c r="BW47" s="181"/>
      <c r="BX47" s="181"/>
      <c r="BY47" s="181"/>
      <c r="BZ47" s="181"/>
      <c r="CA47" s="181"/>
      <c r="CB47" s="181"/>
      <c r="CC47" s="181"/>
      <c r="CD47" s="181"/>
      <c r="CE47" s="173"/>
      <c r="CF47" s="173"/>
      <c r="CG47" s="173"/>
      <c r="CH47" s="173"/>
      <c r="CI47" s="173"/>
      <c r="CJ47" s="173"/>
      <c r="CK47" s="173"/>
    </row>
    <row r="48" spans="1:89" s="76" customFormat="1" ht="13.35" thickBot="1" x14ac:dyDescent="0.5">
      <c r="A48" s="127"/>
      <c r="B48" s="127"/>
      <c r="C48" s="127"/>
      <c r="D48" s="127"/>
      <c r="E48" s="128"/>
      <c r="F48" s="127"/>
      <c r="G48" s="127"/>
      <c r="H48" s="127"/>
      <c r="I48" s="127"/>
      <c r="J48" s="127"/>
      <c r="K48" s="182"/>
      <c r="L48" s="182"/>
      <c r="M48" s="127"/>
      <c r="N48" s="127"/>
      <c r="O48" s="171"/>
      <c r="P48" s="171"/>
      <c r="Q48" s="171"/>
      <c r="R48" s="171"/>
      <c r="S48" s="171"/>
      <c r="T48" s="171"/>
      <c r="U48" s="171"/>
      <c r="V48" s="171"/>
      <c r="W48" s="171"/>
      <c r="X48" s="171"/>
      <c r="Y48" s="171"/>
      <c r="Z48" s="171"/>
      <c r="AA48" s="127"/>
      <c r="AB48" s="127"/>
      <c r="AC48" s="127"/>
      <c r="AD48" s="127"/>
      <c r="AE48" s="127"/>
      <c r="AF48" s="127"/>
      <c r="AG48" s="127"/>
      <c r="AH48" s="127"/>
      <c r="AI48" s="127"/>
      <c r="AJ48" s="127"/>
      <c r="AK48" s="127"/>
      <c r="AL48" s="127"/>
      <c r="AM48" s="127"/>
      <c r="AN48" s="127"/>
      <c r="AO48" s="127"/>
      <c r="AP48" s="127"/>
      <c r="AQ48" s="127"/>
      <c r="AR48" s="127"/>
      <c r="AS48" s="127"/>
      <c r="AT48" s="127"/>
      <c r="AU48" s="127"/>
      <c r="AV48" s="127"/>
      <c r="AW48" s="127"/>
      <c r="AX48" s="127"/>
      <c r="AY48" s="127"/>
      <c r="AZ48" s="127"/>
      <c r="BA48" s="127"/>
      <c r="BB48" s="127"/>
      <c r="BC48" s="127"/>
      <c r="BD48" s="127"/>
      <c r="BE48" s="127"/>
      <c r="BF48" s="127"/>
      <c r="BG48" s="127"/>
      <c r="BH48" s="127"/>
      <c r="BI48" s="127"/>
      <c r="BJ48" s="127"/>
      <c r="BK48" s="127"/>
      <c r="BL48" s="183"/>
      <c r="BM48" s="183"/>
      <c r="BN48" s="183"/>
      <c r="BO48" s="183"/>
      <c r="BP48" s="183"/>
      <c r="BQ48" s="183"/>
      <c r="BR48" s="183"/>
      <c r="BS48" s="183"/>
      <c r="BT48" s="183"/>
      <c r="BU48" s="183"/>
      <c r="BV48" s="183"/>
      <c r="BW48" s="183"/>
      <c r="BX48" s="183"/>
      <c r="BY48" s="183"/>
      <c r="BZ48" s="183"/>
      <c r="CA48" s="183"/>
      <c r="CB48" s="183"/>
      <c r="CC48" s="183"/>
      <c r="CD48" s="183"/>
      <c r="CE48" s="173"/>
      <c r="CF48" s="173"/>
      <c r="CG48" s="173"/>
      <c r="CH48" s="173"/>
      <c r="CI48" s="173"/>
      <c r="CJ48" s="173"/>
      <c r="CK48" s="173"/>
    </row>
    <row r="49" spans="1:89" s="101" customFormat="1" ht="15" customHeight="1" x14ac:dyDescent="0.45">
      <c r="A49" s="281" t="s">
        <v>374</v>
      </c>
      <c r="B49" s="286" t="s">
        <v>542</v>
      </c>
      <c r="C49" s="271" t="s">
        <v>177</v>
      </c>
      <c r="D49" s="272"/>
      <c r="E49" s="283"/>
      <c r="F49" s="261" t="s">
        <v>32</v>
      </c>
      <c r="G49" s="261" t="s">
        <v>178</v>
      </c>
      <c r="H49" s="261" t="s">
        <v>176</v>
      </c>
      <c r="I49" s="261" t="s">
        <v>179</v>
      </c>
      <c r="J49" s="261" t="s">
        <v>273</v>
      </c>
      <c r="K49" s="261"/>
      <c r="L49" s="261" t="s">
        <v>26</v>
      </c>
      <c r="M49" s="261" t="s">
        <v>2</v>
      </c>
      <c r="N49" s="261" t="s">
        <v>3</v>
      </c>
      <c r="O49" s="261" t="s">
        <v>4</v>
      </c>
      <c r="P49" s="261" t="s">
        <v>5</v>
      </c>
      <c r="Q49" s="261" t="s">
        <v>6</v>
      </c>
      <c r="R49" s="261" t="s">
        <v>7</v>
      </c>
      <c r="S49" s="261" t="s">
        <v>8</v>
      </c>
      <c r="T49" s="261" t="s">
        <v>9</v>
      </c>
      <c r="U49" s="261" t="s">
        <v>10</v>
      </c>
      <c r="V49" s="261" t="s">
        <v>11</v>
      </c>
      <c r="W49" s="261" t="s">
        <v>12</v>
      </c>
      <c r="X49" s="261" t="s">
        <v>13</v>
      </c>
      <c r="Y49" s="261" t="s">
        <v>14</v>
      </c>
      <c r="Z49" s="261" t="s">
        <v>15</v>
      </c>
      <c r="AA49" s="261" t="s">
        <v>16</v>
      </c>
      <c r="AB49" s="261" t="s">
        <v>17</v>
      </c>
      <c r="AC49" s="261" t="s">
        <v>18</v>
      </c>
      <c r="AD49" s="261" t="s">
        <v>19</v>
      </c>
      <c r="AE49" s="261" t="s">
        <v>20</v>
      </c>
      <c r="AF49" s="261" t="s">
        <v>21</v>
      </c>
      <c r="AG49" s="261" t="s">
        <v>22</v>
      </c>
      <c r="AH49" s="261" t="s">
        <v>23</v>
      </c>
      <c r="AI49" s="261" t="s">
        <v>24</v>
      </c>
      <c r="AJ49" s="261" t="s">
        <v>25</v>
      </c>
      <c r="AK49" s="261" t="s">
        <v>61</v>
      </c>
      <c r="AL49" s="261" t="s">
        <v>62</v>
      </c>
      <c r="AM49" s="261" t="s">
        <v>63</v>
      </c>
      <c r="AN49" s="261" t="s">
        <v>64</v>
      </c>
      <c r="AO49" s="261" t="s">
        <v>65</v>
      </c>
      <c r="AP49" s="261" t="s">
        <v>66</v>
      </c>
      <c r="AQ49" s="261" t="s">
        <v>67</v>
      </c>
      <c r="AR49" s="261" t="s">
        <v>68</v>
      </c>
      <c r="AS49" s="261" t="s">
        <v>69</v>
      </c>
      <c r="AT49" s="261" t="s">
        <v>70</v>
      </c>
      <c r="AU49" s="261" t="s">
        <v>71</v>
      </c>
      <c r="AV49" s="261" t="s">
        <v>72</v>
      </c>
      <c r="AW49" s="261" t="s">
        <v>73</v>
      </c>
      <c r="AX49" s="261" t="s">
        <v>74</v>
      </c>
      <c r="AY49" s="261" t="s">
        <v>75</v>
      </c>
      <c r="AZ49" s="261" t="s">
        <v>76</v>
      </c>
      <c r="BA49" s="261" t="s">
        <v>77</v>
      </c>
      <c r="BB49" s="261" t="s">
        <v>78</v>
      </c>
      <c r="BC49" s="261" t="s">
        <v>79</v>
      </c>
      <c r="BD49" s="261" t="s">
        <v>80</v>
      </c>
      <c r="BE49" s="261" t="s">
        <v>81</v>
      </c>
      <c r="BF49" s="261" t="s">
        <v>82</v>
      </c>
      <c r="BG49" s="261" t="s">
        <v>83</v>
      </c>
      <c r="BH49" s="261" t="s">
        <v>84</v>
      </c>
      <c r="BI49" s="261" t="s">
        <v>85</v>
      </c>
      <c r="BJ49" s="261" t="s">
        <v>86</v>
      </c>
      <c r="BK49" s="261" t="s">
        <v>87</v>
      </c>
      <c r="BL49" s="261" t="s">
        <v>88</v>
      </c>
      <c r="BM49" s="263" t="s">
        <v>195</v>
      </c>
      <c r="BN49" s="263" t="s">
        <v>196</v>
      </c>
      <c r="BO49" s="263" t="s">
        <v>197</v>
      </c>
      <c r="BP49" s="263" t="s">
        <v>198</v>
      </c>
      <c r="BQ49" s="263" t="s">
        <v>199</v>
      </c>
      <c r="BR49" s="263" t="s">
        <v>200</v>
      </c>
      <c r="BS49" s="263" t="s">
        <v>201</v>
      </c>
      <c r="BT49" s="263" t="s">
        <v>202</v>
      </c>
      <c r="BU49" s="263" t="s">
        <v>203</v>
      </c>
      <c r="BV49" s="263" t="s">
        <v>204</v>
      </c>
      <c r="BW49" s="263" t="s">
        <v>205</v>
      </c>
      <c r="BX49" s="263" t="s">
        <v>206</v>
      </c>
      <c r="BY49" s="263" t="s">
        <v>207</v>
      </c>
      <c r="BZ49" s="263" t="s">
        <v>208</v>
      </c>
      <c r="CA49" s="263" t="s">
        <v>209</v>
      </c>
      <c r="CB49" s="263" t="s">
        <v>210</v>
      </c>
      <c r="CC49" s="263" t="s">
        <v>211</v>
      </c>
      <c r="CD49" s="263" t="s">
        <v>212</v>
      </c>
      <c r="CE49" s="176"/>
      <c r="CF49" s="176"/>
      <c r="CG49" s="176"/>
      <c r="CH49" s="176"/>
      <c r="CI49" s="176"/>
      <c r="CJ49" s="176"/>
      <c r="CK49" s="176"/>
    </row>
    <row r="50" spans="1:89" s="101" customFormat="1" ht="13.35" thickBot="1" x14ac:dyDescent="0.5">
      <c r="A50" s="282"/>
      <c r="B50" s="287"/>
      <c r="C50" s="273"/>
      <c r="D50" s="274"/>
      <c r="E50" s="284"/>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176"/>
      <c r="CF50" s="176"/>
      <c r="CG50" s="176"/>
      <c r="CH50" s="176"/>
      <c r="CI50" s="176"/>
      <c r="CJ50" s="176"/>
      <c r="CK50" s="176"/>
    </row>
    <row r="51" spans="1:89" ht="15" customHeight="1" x14ac:dyDescent="0.45">
      <c r="A51" s="104"/>
      <c r="B51" s="184"/>
      <c r="C51" s="277"/>
      <c r="D51" s="278"/>
      <c r="E51" s="185"/>
      <c r="F51" s="164"/>
      <c r="G51" s="164"/>
      <c r="H51" s="134">
        <f>IF(G51=0,,((G51-F51)/G51))</f>
        <v>0</v>
      </c>
      <c r="I51" s="165">
        <f>F51*L51</f>
        <v>0</v>
      </c>
      <c r="J51" s="165">
        <f>G51*L51</f>
        <v>0</v>
      </c>
      <c r="K51" s="186"/>
      <c r="L51" s="135">
        <f t="shared" ref="L51:L60" si="20">SUM(M51:CJ51)</f>
        <v>0</v>
      </c>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row>
    <row r="52" spans="1:89" ht="15" customHeight="1" x14ac:dyDescent="0.45">
      <c r="A52" s="104"/>
      <c r="B52" s="184"/>
      <c r="C52" s="277"/>
      <c r="D52" s="278"/>
      <c r="E52" s="185"/>
      <c r="F52" s="164"/>
      <c r="G52" s="164"/>
      <c r="H52" s="134">
        <f>IF(G52=0,,((G52-F52)/G52))</f>
        <v>0</v>
      </c>
      <c r="I52" s="165">
        <f>F52*L52</f>
        <v>0</v>
      </c>
      <c r="J52" s="165">
        <f>G52*L52</f>
        <v>0</v>
      </c>
      <c r="K52" s="186"/>
      <c r="L52" s="135">
        <f t="shared" si="20"/>
        <v>0</v>
      </c>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c r="AS52" s="136"/>
      <c r="AT52" s="136"/>
      <c r="AU52" s="136"/>
      <c r="AV52" s="136"/>
      <c r="AW52" s="136"/>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row>
    <row r="53" spans="1:89" ht="15" customHeight="1" x14ac:dyDescent="0.45">
      <c r="A53" s="104"/>
      <c r="B53" s="184" t="s">
        <v>353</v>
      </c>
      <c r="C53" s="277"/>
      <c r="D53" s="278"/>
      <c r="E53" s="185"/>
      <c r="F53" s="164"/>
      <c r="G53" s="164"/>
      <c r="H53" s="134">
        <f>IF(G53=0,,((G53-F53)/G53))</f>
        <v>0</v>
      </c>
      <c r="I53" s="165">
        <f>F53*L53</f>
        <v>0</v>
      </c>
      <c r="J53" s="165">
        <f>G53*L53</f>
        <v>0</v>
      </c>
      <c r="K53" s="186"/>
      <c r="L53" s="135">
        <f t="shared" si="20"/>
        <v>0</v>
      </c>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c r="AS53" s="136"/>
      <c r="AT53" s="136"/>
      <c r="AU53" s="136"/>
      <c r="AV53" s="136"/>
      <c r="AW53" s="136"/>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row>
    <row r="54" spans="1:89" ht="15" customHeight="1" x14ac:dyDescent="0.45">
      <c r="A54" s="104"/>
      <c r="B54" s="184"/>
      <c r="C54" s="277"/>
      <c r="D54" s="278"/>
      <c r="E54" s="185"/>
      <c r="F54" s="164"/>
      <c r="G54" s="164"/>
      <c r="H54" s="134">
        <f>IF(G54=0,,((G54-F54)/G54))</f>
        <v>0</v>
      </c>
      <c r="I54" s="165">
        <f>F54*L54</f>
        <v>0</v>
      </c>
      <c r="J54" s="165">
        <f>G54*L54</f>
        <v>0</v>
      </c>
      <c r="K54" s="186"/>
      <c r="L54" s="135">
        <f t="shared" si="20"/>
        <v>0</v>
      </c>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c r="AS54" s="136"/>
      <c r="AT54" s="136"/>
      <c r="AU54" s="136"/>
      <c r="AV54" s="136"/>
      <c r="AW54" s="136"/>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row>
    <row r="55" spans="1:89" ht="15" customHeight="1" x14ac:dyDescent="0.45">
      <c r="A55" s="104"/>
      <c r="B55" s="184"/>
      <c r="C55" s="277"/>
      <c r="D55" s="278"/>
      <c r="E55" s="185"/>
      <c r="F55" s="164"/>
      <c r="G55" s="164"/>
      <c r="H55" s="134">
        <f t="shared" ref="H55:H60" si="21">IF(G55=0,,((G55-F55)/G55))</f>
        <v>0</v>
      </c>
      <c r="I55" s="165">
        <f t="shared" ref="I55:I60" si="22">F55*L55</f>
        <v>0</v>
      </c>
      <c r="J55" s="165">
        <f t="shared" ref="J55:J60" si="23">G55*L55</f>
        <v>0</v>
      </c>
      <c r="K55" s="186"/>
      <c r="L55" s="135">
        <f t="shared" si="20"/>
        <v>0</v>
      </c>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6"/>
      <c r="AW55" s="136"/>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row>
    <row r="56" spans="1:89" ht="15" customHeight="1" x14ac:dyDescent="0.45">
      <c r="A56" s="104"/>
      <c r="B56" s="184"/>
      <c r="C56" s="277"/>
      <c r="D56" s="278"/>
      <c r="E56" s="185"/>
      <c r="F56" s="164"/>
      <c r="G56" s="164"/>
      <c r="H56" s="134">
        <f t="shared" si="21"/>
        <v>0</v>
      </c>
      <c r="I56" s="165">
        <f t="shared" si="22"/>
        <v>0</v>
      </c>
      <c r="J56" s="165">
        <f t="shared" si="23"/>
        <v>0</v>
      </c>
      <c r="K56" s="186"/>
      <c r="L56" s="135">
        <f t="shared" si="20"/>
        <v>0</v>
      </c>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row>
    <row r="57" spans="1:89" ht="15" customHeight="1" x14ac:dyDescent="0.45">
      <c r="A57" s="104"/>
      <c r="B57" s="184"/>
      <c r="C57" s="267"/>
      <c r="D57" s="268"/>
      <c r="E57" s="185"/>
      <c r="F57" s="164"/>
      <c r="G57" s="164"/>
      <c r="H57" s="134">
        <f t="shared" si="21"/>
        <v>0</v>
      </c>
      <c r="I57" s="165">
        <f t="shared" si="22"/>
        <v>0</v>
      </c>
      <c r="J57" s="165">
        <f t="shared" si="23"/>
        <v>0</v>
      </c>
      <c r="K57" s="186"/>
      <c r="L57" s="135">
        <f t="shared" si="20"/>
        <v>0</v>
      </c>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row>
    <row r="58" spans="1:89" ht="15" customHeight="1" x14ac:dyDescent="0.45">
      <c r="A58" s="111"/>
      <c r="B58" s="184"/>
      <c r="C58" s="267"/>
      <c r="D58" s="268"/>
      <c r="E58" s="185"/>
      <c r="F58" s="164"/>
      <c r="G58" s="164"/>
      <c r="H58" s="134">
        <f t="shared" si="21"/>
        <v>0</v>
      </c>
      <c r="I58" s="165">
        <f t="shared" si="22"/>
        <v>0</v>
      </c>
      <c r="J58" s="187">
        <f t="shared" si="23"/>
        <v>0</v>
      </c>
      <c r="K58" s="186"/>
      <c r="L58" s="135">
        <f t="shared" si="20"/>
        <v>0</v>
      </c>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row>
    <row r="59" spans="1:89" ht="15" customHeight="1" x14ac:dyDescent="0.45">
      <c r="A59" s="111"/>
      <c r="B59" s="184"/>
      <c r="C59" s="267"/>
      <c r="D59" s="268"/>
      <c r="E59" s="185"/>
      <c r="F59" s="164"/>
      <c r="G59" s="164"/>
      <c r="H59" s="134">
        <f t="shared" si="21"/>
        <v>0</v>
      </c>
      <c r="I59" s="165">
        <f t="shared" si="22"/>
        <v>0</v>
      </c>
      <c r="J59" s="187">
        <f t="shared" si="23"/>
        <v>0</v>
      </c>
      <c r="K59" s="186"/>
      <c r="L59" s="135">
        <f t="shared" si="20"/>
        <v>0</v>
      </c>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row>
    <row r="60" spans="1:89" ht="15" customHeight="1" thickBot="1" x14ac:dyDescent="0.5">
      <c r="A60" s="111"/>
      <c r="B60" s="184"/>
      <c r="C60" s="269"/>
      <c r="D60" s="270"/>
      <c r="E60" s="185"/>
      <c r="F60" s="164"/>
      <c r="G60" s="164"/>
      <c r="H60" s="188">
        <f t="shared" si="21"/>
        <v>0</v>
      </c>
      <c r="I60" s="169">
        <f t="shared" si="22"/>
        <v>0</v>
      </c>
      <c r="J60" s="189">
        <f t="shared" si="23"/>
        <v>0</v>
      </c>
      <c r="K60" s="190"/>
      <c r="L60" s="135">
        <f t="shared" si="20"/>
        <v>0</v>
      </c>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row>
    <row r="61" spans="1:89" s="76" customFormat="1" ht="13.35" thickBot="1" x14ac:dyDescent="0.5">
      <c r="A61" s="127"/>
      <c r="B61" s="127"/>
      <c r="C61" s="127"/>
      <c r="D61" s="127"/>
      <c r="E61" s="128"/>
      <c r="F61" s="191"/>
      <c r="G61" s="168" t="s">
        <v>183</v>
      </c>
      <c r="H61" s="192">
        <f>IF(J61=0,,((J61-I61)/J61))</f>
        <v>0</v>
      </c>
      <c r="I61" s="193">
        <f>SUM(I51:I60)</f>
        <v>0</v>
      </c>
      <c r="J61" s="193">
        <f>SUM(J51:J60)</f>
        <v>0</v>
      </c>
      <c r="K61" s="186"/>
      <c r="L61" s="194">
        <f>SUM(L51:L60)</f>
        <v>0</v>
      </c>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1"/>
      <c r="BX61" s="171"/>
      <c r="BY61" s="171"/>
      <c r="BZ61" s="171"/>
      <c r="CA61" s="171"/>
      <c r="CB61" s="171"/>
      <c r="CC61" s="171"/>
      <c r="CD61" s="171"/>
    </row>
    <row r="62" spans="1:89" s="76" customFormat="1" x14ac:dyDescent="0.45">
      <c r="A62" s="127"/>
      <c r="B62" s="127"/>
      <c r="C62" s="127"/>
      <c r="D62" s="127"/>
      <c r="E62" s="127"/>
      <c r="F62" s="191"/>
      <c r="G62" s="191"/>
      <c r="H62" s="127"/>
      <c r="I62" s="191"/>
      <c r="J62" s="191"/>
      <c r="K62" s="127"/>
      <c r="L62" s="127"/>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1"/>
      <c r="BX62" s="171"/>
      <c r="BY62" s="171"/>
      <c r="BZ62" s="171"/>
      <c r="CA62" s="171"/>
      <c r="CB62" s="171"/>
      <c r="CC62" s="171"/>
      <c r="CD62" s="171"/>
    </row>
    <row r="63" spans="1:89" s="76" customFormat="1" ht="13.35" thickBot="1" x14ac:dyDescent="0.5">
      <c r="I63" s="145" t="s">
        <v>357</v>
      </c>
      <c r="J63" s="195">
        <f>J32+J47+J61</f>
        <v>0</v>
      </c>
      <c r="K63" s="195">
        <f>K32+K47+K61</f>
        <v>0</v>
      </c>
      <c r="L63" s="196">
        <f>L32*9+L61+L47*9</f>
        <v>0</v>
      </c>
      <c r="M63" s="197">
        <f>SUM(M8:M31)*9+SUM(M51:M60)+SUM(M36:M46)*9</f>
        <v>0</v>
      </c>
      <c r="N63" s="197">
        <f t="shared" ref="N63:AX63" si="24">SUM(N8:N31)*9+SUM(N51:N60)+SUM(N36:N46)*9</f>
        <v>0</v>
      </c>
      <c r="O63" s="197">
        <f t="shared" si="24"/>
        <v>0</v>
      </c>
      <c r="P63" s="197">
        <f t="shared" si="24"/>
        <v>0</v>
      </c>
      <c r="Q63" s="197">
        <f t="shared" si="24"/>
        <v>0</v>
      </c>
      <c r="R63" s="197">
        <f t="shared" si="24"/>
        <v>0</v>
      </c>
      <c r="S63" s="197">
        <f t="shared" si="24"/>
        <v>0</v>
      </c>
      <c r="T63" s="197">
        <f t="shared" si="24"/>
        <v>0</v>
      </c>
      <c r="U63" s="197">
        <f t="shared" si="24"/>
        <v>0</v>
      </c>
      <c r="V63" s="197">
        <f t="shared" si="24"/>
        <v>0</v>
      </c>
      <c r="W63" s="197">
        <f t="shared" si="24"/>
        <v>0</v>
      </c>
      <c r="X63" s="197">
        <f t="shared" si="24"/>
        <v>0</v>
      </c>
      <c r="Y63" s="197">
        <f t="shared" si="24"/>
        <v>0</v>
      </c>
      <c r="Z63" s="197">
        <f t="shared" si="24"/>
        <v>0</v>
      </c>
      <c r="AA63" s="197">
        <f t="shared" si="24"/>
        <v>0</v>
      </c>
      <c r="AB63" s="197">
        <f t="shared" si="24"/>
        <v>0</v>
      </c>
      <c r="AC63" s="197">
        <f t="shared" si="24"/>
        <v>0</v>
      </c>
      <c r="AD63" s="197">
        <f t="shared" si="24"/>
        <v>0</v>
      </c>
      <c r="AE63" s="197">
        <f t="shared" si="24"/>
        <v>0</v>
      </c>
      <c r="AF63" s="197">
        <f t="shared" si="24"/>
        <v>0</v>
      </c>
      <c r="AG63" s="197">
        <f t="shared" si="24"/>
        <v>0</v>
      </c>
      <c r="AH63" s="197">
        <f t="shared" si="24"/>
        <v>0</v>
      </c>
      <c r="AI63" s="197">
        <f t="shared" si="24"/>
        <v>0</v>
      </c>
      <c r="AJ63" s="197">
        <f t="shared" si="24"/>
        <v>0</v>
      </c>
      <c r="AK63" s="197">
        <f t="shared" si="24"/>
        <v>0</v>
      </c>
      <c r="AL63" s="197">
        <f t="shared" si="24"/>
        <v>0</v>
      </c>
      <c r="AM63" s="197">
        <f t="shared" si="24"/>
        <v>0</v>
      </c>
      <c r="AN63" s="197">
        <f t="shared" si="24"/>
        <v>0</v>
      </c>
      <c r="AO63" s="197">
        <f t="shared" si="24"/>
        <v>0</v>
      </c>
      <c r="AP63" s="197">
        <f t="shared" si="24"/>
        <v>0</v>
      </c>
      <c r="AQ63" s="197">
        <f t="shared" si="24"/>
        <v>0</v>
      </c>
      <c r="AR63" s="197">
        <f t="shared" si="24"/>
        <v>0</v>
      </c>
      <c r="AS63" s="197">
        <f t="shared" si="24"/>
        <v>0</v>
      </c>
      <c r="AT63" s="197">
        <f t="shared" si="24"/>
        <v>0</v>
      </c>
      <c r="AU63" s="197">
        <f t="shared" si="24"/>
        <v>0</v>
      </c>
      <c r="AV63" s="197">
        <f t="shared" si="24"/>
        <v>0</v>
      </c>
      <c r="AW63" s="197">
        <f t="shared" si="24"/>
        <v>0</v>
      </c>
      <c r="AX63" s="197">
        <f t="shared" si="24"/>
        <v>0</v>
      </c>
      <c r="AY63" s="197">
        <f>SUM(AY8:AY31)*9+SUM(AY51:AY60)+SUM(AY36:AY46)*9</f>
        <v>0</v>
      </c>
      <c r="AZ63" s="197">
        <f t="shared" ref="AZ63:CD63" si="25">SUM(AZ8:AZ31)*9+SUM(AZ51:AZ60)+SUM(AZ36:AZ46)*9</f>
        <v>0</v>
      </c>
      <c r="BA63" s="197">
        <f t="shared" si="25"/>
        <v>0</v>
      </c>
      <c r="BB63" s="197">
        <f t="shared" si="25"/>
        <v>0</v>
      </c>
      <c r="BC63" s="197">
        <f t="shared" si="25"/>
        <v>0</v>
      </c>
      <c r="BD63" s="197">
        <f t="shared" si="25"/>
        <v>0</v>
      </c>
      <c r="BE63" s="197">
        <f t="shared" si="25"/>
        <v>0</v>
      </c>
      <c r="BF63" s="197">
        <f t="shared" si="25"/>
        <v>0</v>
      </c>
      <c r="BG63" s="197">
        <f t="shared" si="25"/>
        <v>0</v>
      </c>
      <c r="BH63" s="197">
        <f t="shared" si="25"/>
        <v>0</v>
      </c>
      <c r="BI63" s="197">
        <f t="shared" si="25"/>
        <v>0</v>
      </c>
      <c r="BJ63" s="197">
        <f t="shared" si="25"/>
        <v>0</v>
      </c>
      <c r="BK63" s="197">
        <f t="shared" si="25"/>
        <v>0</v>
      </c>
      <c r="BL63" s="197">
        <f t="shared" si="25"/>
        <v>0</v>
      </c>
      <c r="BM63" s="197">
        <f t="shared" si="25"/>
        <v>0</v>
      </c>
      <c r="BN63" s="197">
        <f t="shared" si="25"/>
        <v>0</v>
      </c>
      <c r="BO63" s="197">
        <f t="shared" si="25"/>
        <v>0</v>
      </c>
      <c r="BP63" s="197">
        <f t="shared" si="25"/>
        <v>0</v>
      </c>
      <c r="BQ63" s="197">
        <f t="shared" si="25"/>
        <v>0</v>
      </c>
      <c r="BR63" s="197">
        <f t="shared" si="25"/>
        <v>0</v>
      </c>
      <c r="BS63" s="197">
        <f t="shared" si="25"/>
        <v>0</v>
      </c>
      <c r="BT63" s="197">
        <f t="shared" si="25"/>
        <v>0</v>
      </c>
      <c r="BU63" s="197">
        <f t="shared" si="25"/>
        <v>0</v>
      </c>
      <c r="BV63" s="197">
        <f t="shared" si="25"/>
        <v>0</v>
      </c>
      <c r="BW63" s="197">
        <f t="shared" si="25"/>
        <v>0</v>
      </c>
      <c r="BX63" s="197">
        <f t="shared" si="25"/>
        <v>0</v>
      </c>
      <c r="BY63" s="197">
        <f t="shared" si="25"/>
        <v>0</v>
      </c>
      <c r="BZ63" s="197">
        <f t="shared" si="25"/>
        <v>0</v>
      </c>
      <c r="CA63" s="197">
        <f t="shared" si="25"/>
        <v>0</v>
      </c>
      <c r="CB63" s="197">
        <f t="shared" si="25"/>
        <v>0</v>
      </c>
      <c r="CC63" s="197">
        <f t="shared" si="25"/>
        <v>0</v>
      </c>
      <c r="CD63" s="197">
        <f t="shared" si="25"/>
        <v>0</v>
      </c>
    </row>
    <row r="64" spans="1:89" ht="15.75" hidden="1" customHeight="1" thickTop="1" x14ac:dyDescent="0.45">
      <c r="D64" s="74" t="e">
        <f>IF(AND(#REF!="Sr Consultant",ABS((#REF!*3.5)-#REF!)&gt;=37.5),1,IF(AND(#REF!="Analyst",ABS((#REF!*3.5)-#REF!)&gt;=37.5),1,IF(AND(#REF!="Consultant",ABS((#REF!*3.5)-#REF!)&gt;=37.5),1,IF(AND(#REF!="Manager",ABS((#REF!*3.5)-#REF!)&gt;=37.5),1,IF(AND(#REF!="Sr Manager",ABS((#REF!*3.5)-#REF!)&gt;=37.5),1,IF(AND(#REF!="Principal",ABS((#REF!*3.5)-#REF!)&gt;=37.5),1))))))</f>
        <v>#REF!</v>
      </c>
    </row>
    <row r="65" spans="4:82" ht="15" hidden="1" customHeight="1" x14ac:dyDescent="0.45">
      <c r="D65" s="74" t="b">
        <f t="shared" ref="D65:D70" si="26">IF(AND(D55="Sr Consultant",ABS((E55*3.5)-F55)&gt;=37.5),1,IF(AND(D55="Analyst",ABS((E55*3.5)-F55)&gt;=37.5),1,IF(AND(D55="Consultant",ABS((E55*3.5)-F55)&gt;=37.5),1,IF(AND(D55="Manager",ABS((E55*3.5)-F55)&gt;=37.5),1,IF(AND(D55="Sr Manager",ABS((E55*3.5)-F55)&gt;=37.5),1,IF(AND(D55="Principal",ABS((E55*3.5)-F55)&gt;=37.5),1))))))</f>
        <v>0</v>
      </c>
    </row>
    <row r="66" spans="4:82" ht="15" hidden="1" customHeight="1" x14ac:dyDescent="0.45">
      <c r="D66" s="74" t="b">
        <f t="shared" si="26"/>
        <v>0</v>
      </c>
      <c r="F66" s="198"/>
    </row>
    <row r="67" spans="4:82" ht="15" hidden="1" customHeight="1" x14ac:dyDescent="0.45">
      <c r="D67" s="74" t="b">
        <f t="shared" si="26"/>
        <v>0</v>
      </c>
    </row>
    <row r="68" spans="4:82" ht="15" hidden="1" customHeight="1" x14ac:dyDescent="0.45">
      <c r="D68" s="74" t="b">
        <f t="shared" si="26"/>
        <v>0</v>
      </c>
    </row>
    <row r="69" spans="4:82" ht="15" hidden="1" customHeight="1" x14ac:dyDescent="0.45">
      <c r="D69" s="74" t="b">
        <f t="shared" si="26"/>
        <v>0</v>
      </c>
    </row>
    <row r="70" spans="4:82" ht="15" hidden="1" customHeight="1" x14ac:dyDescent="0.45">
      <c r="D70" s="74" t="b">
        <f t="shared" si="26"/>
        <v>0</v>
      </c>
    </row>
    <row r="71" spans="4:82" s="76" customFormat="1" ht="13.35" thickTop="1" x14ac:dyDescent="0.45">
      <c r="K71" s="259" t="s">
        <v>166</v>
      </c>
      <c r="L71" s="260"/>
      <c r="M71" s="150">
        <f>SUMPRODUCT($G8:$G60,M8:M60)</f>
        <v>0</v>
      </c>
      <c r="N71" s="150">
        <f>SUMPRODUCT($G8:$G60,N8:N60)</f>
        <v>0</v>
      </c>
      <c r="O71" s="150">
        <f t="shared" ref="O71:AR71" si="27">SUMPRODUCT($G8:$G60,O8:O60)</f>
        <v>0</v>
      </c>
      <c r="P71" s="150">
        <f t="shared" si="27"/>
        <v>0</v>
      </c>
      <c r="Q71" s="150">
        <f t="shared" si="27"/>
        <v>0</v>
      </c>
      <c r="R71" s="150">
        <f t="shared" si="27"/>
        <v>0</v>
      </c>
      <c r="S71" s="150">
        <f t="shared" si="27"/>
        <v>0</v>
      </c>
      <c r="T71" s="150">
        <f t="shared" si="27"/>
        <v>0</v>
      </c>
      <c r="U71" s="150">
        <f t="shared" si="27"/>
        <v>0</v>
      </c>
      <c r="V71" s="150">
        <f t="shared" si="27"/>
        <v>0</v>
      </c>
      <c r="W71" s="150">
        <f t="shared" si="27"/>
        <v>0</v>
      </c>
      <c r="X71" s="150">
        <f t="shared" si="27"/>
        <v>0</v>
      </c>
      <c r="Y71" s="150">
        <f t="shared" si="27"/>
        <v>0</v>
      </c>
      <c r="Z71" s="150">
        <f t="shared" si="27"/>
        <v>0</v>
      </c>
      <c r="AA71" s="150">
        <f t="shared" si="27"/>
        <v>0</v>
      </c>
      <c r="AB71" s="150">
        <f t="shared" si="27"/>
        <v>0</v>
      </c>
      <c r="AC71" s="150">
        <f t="shared" si="27"/>
        <v>0</v>
      </c>
      <c r="AD71" s="150">
        <f t="shared" si="27"/>
        <v>0</v>
      </c>
      <c r="AE71" s="150">
        <f t="shared" si="27"/>
        <v>0</v>
      </c>
      <c r="AF71" s="150">
        <f t="shared" si="27"/>
        <v>0</v>
      </c>
      <c r="AG71" s="150">
        <f t="shared" si="27"/>
        <v>0</v>
      </c>
      <c r="AH71" s="150">
        <f t="shared" si="27"/>
        <v>0</v>
      </c>
      <c r="AI71" s="150">
        <f t="shared" si="27"/>
        <v>0</v>
      </c>
      <c r="AJ71" s="150">
        <f t="shared" si="27"/>
        <v>0</v>
      </c>
      <c r="AK71" s="150">
        <f t="shared" si="27"/>
        <v>0</v>
      </c>
      <c r="AL71" s="150">
        <f t="shared" si="27"/>
        <v>0</v>
      </c>
      <c r="AM71" s="150">
        <f t="shared" si="27"/>
        <v>0</v>
      </c>
      <c r="AN71" s="150">
        <f t="shared" si="27"/>
        <v>0</v>
      </c>
      <c r="AO71" s="150">
        <f t="shared" si="27"/>
        <v>0</v>
      </c>
      <c r="AP71" s="150">
        <f t="shared" si="27"/>
        <v>0</v>
      </c>
      <c r="AQ71" s="150">
        <f t="shared" si="27"/>
        <v>0</v>
      </c>
      <c r="AR71" s="150">
        <f t="shared" si="27"/>
        <v>0</v>
      </c>
      <c r="AS71" s="150">
        <f t="shared" ref="AS71:BX71" si="28">SUMPRODUCT($G8:$G60,AS8:AS60)</f>
        <v>0</v>
      </c>
      <c r="AT71" s="150">
        <f t="shared" si="28"/>
        <v>0</v>
      </c>
      <c r="AU71" s="150">
        <f t="shared" si="28"/>
        <v>0</v>
      </c>
      <c r="AV71" s="150">
        <f t="shared" si="28"/>
        <v>0</v>
      </c>
      <c r="AW71" s="150">
        <f t="shared" si="28"/>
        <v>0</v>
      </c>
      <c r="AX71" s="150">
        <f t="shared" si="28"/>
        <v>0</v>
      </c>
      <c r="AY71" s="150">
        <f t="shared" si="28"/>
        <v>0</v>
      </c>
      <c r="AZ71" s="150">
        <f t="shared" si="28"/>
        <v>0</v>
      </c>
      <c r="BA71" s="150">
        <f t="shared" si="28"/>
        <v>0</v>
      </c>
      <c r="BB71" s="150">
        <f t="shared" si="28"/>
        <v>0</v>
      </c>
      <c r="BC71" s="150">
        <f t="shared" si="28"/>
        <v>0</v>
      </c>
      <c r="BD71" s="150">
        <f t="shared" si="28"/>
        <v>0</v>
      </c>
      <c r="BE71" s="150">
        <f t="shared" si="28"/>
        <v>0</v>
      </c>
      <c r="BF71" s="150">
        <f t="shared" si="28"/>
        <v>0</v>
      </c>
      <c r="BG71" s="150">
        <f t="shared" si="28"/>
        <v>0</v>
      </c>
      <c r="BH71" s="150">
        <f t="shared" si="28"/>
        <v>0</v>
      </c>
      <c r="BI71" s="150">
        <f t="shared" si="28"/>
        <v>0</v>
      </c>
      <c r="BJ71" s="150">
        <f t="shared" si="28"/>
        <v>0</v>
      </c>
      <c r="BK71" s="150">
        <f t="shared" si="28"/>
        <v>0</v>
      </c>
      <c r="BL71" s="150">
        <f t="shared" si="28"/>
        <v>0</v>
      </c>
      <c r="BM71" s="150">
        <f t="shared" si="28"/>
        <v>0</v>
      </c>
      <c r="BN71" s="150">
        <f t="shared" si="28"/>
        <v>0</v>
      </c>
      <c r="BO71" s="150">
        <f t="shared" si="28"/>
        <v>0</v>
      </c>
      <c r="BP71" s="150">
        <f t="shared" si="28"/>
        <v>0</v>
      </c>
      <c r="BQ71" s="150">
        <f t="shared" si="28"/>
        <v>0</v>
      </c>
      <c r="BR71" s="150">
        <f t="shared" si="28"/>
        <v>0</v>
      </c>
      <c r="BS71" s="150">
        <f t="shared" si="28"/>
        <v>0</v>
      </c>
      <c r="BT71" s="150">
        <f t="shared" si="28"/>
        <v>0</v>
      </c>
      <c r="BU71" s="150">
        <f t="shared" si="28"/>
        <v>0</v>
      </c>
      <c r="BV71" s="150">
        <f t="shared" si="28"/>
        <v>0</v>
      </c>
      <c r="BW71" s="150">
        <f t="shared" si="28"/>
        <v>0</v>
      </c>
      <c r="BX71" s="150">
        <f t="shared" si="28"/>
        <v>0</v>
      </c>
      <c r="BY71" s="150">
        <f t="shared" ref="BY71:CD71" si="29">SUMPRODUCT($G8:$G60,BY8:BY60)</f>
        <v>0</v>
      </c>
      <c r="BZ71" s="150">
        <f t="shared" si="29"/>
        <v>0</v>
      </c>
      <c r="CA71" s="150">
        <f t="shared" si="29"/>
        <v>0</v>
      </c>
      <c r="CB71" s="150">
        <f t="shared" si="29"/>
        <v>0</v>
      </c>
      <c r="CC71" s="150">
        <f t="shared" si="29"/>
        <v>0</v>
      </c>
      <c r="CD71" s="150">
        <f t="shared" si="29"/>
        <v>0</v>
      </c>
    </row>
    <row r="72" spans="4:82" s="76" customFormat="1" x14ac:dyDescent="0.45"/>
    <row r="73" spans="4:82" s="76" customFormat="1" x14ac:dyDescent="0.45">
      <c r="I73" s="80">
        <f>J32+H47</f>
        <v>0</v>
      </c>
      <c r="J73" s="80">
        <f>I32</f>
        <v>0</v>
      </c>
    </row>
    <row r="74" spans="4:82" s="76" customFormat="1" x14ac:dyDescent="0.45">
      <c r="I74" s="199" t="e">
        <f>I73/J73</f>
        <v>#DIV/0!</v>
      </c>
    </row>
    <row r="75" spans="4:82" s="76" customFormat="1" x14ac:dyDescent="0.45"/>
    <row r="76" spans="4:82" s="76" customFormat="1" x14ac:dyDescent="0.45"/>
    <row r="77" spans="4:82" s="76" customFormat="1" x14ac:dyDescent="0.45"/>
  </sheetData>
  <sheetProtection algorithmName="SHA-512" hashValue="iZhp+EtGNWJLKJBi9Gddqq9Hy9a7u7MgY+v7HEQoZIeINWgd80nfIRv4hhbKxMVzXiskkKoaalEUBLxbFc4E5Q==" saltValue="e45mXW7l93xitmQdQWnaqg==" spinCount="100000" sheet="1" objects="1" scenarios="1"/>
  <dataConsolidate/>
  <mergeCells count="269">
    <mergeCell ref="B6:B7"/>
    <mergeCell ref="B34:B35"/>
    <mergeCell ref="B49:B50"/>
    <mergeCell ref="CA6:CA7"/>
    <mergeCell ref="CB6:CB7"/>
    <mergeCell ref="CC6:CC7"/>
    <mergeCell ref="CD6:CD7"/>
    <mergeCell ref="BQ49:BQ50"/>
    <mergeCell ref="BR49:BR50"/>
    <mergeCell ref="BS49:BS50"/>
    <mergeCell ref="BT49:BT50"/>
    <mergeCell ref="BU49:BU50"/>
    <mergeCell ref="BV49:BV50"/>
    <mergeCell ref="BW49:BW50"/>
    <mergeCell ref="BX49:BX50"/>
    <mergeCell ref="BY49:BY50"/>
    <mergeCell ref="BZ49:BZ50"/>
    <mergeCell ref="CA49:CA50"/>
    <mergeCell ref="CB49:CB50"/>
    <mergeCell ref="CC49:CC50"/>
    <mergeCell ref="CD49:CD50"/>
    <mergeCell ref="BR6:BR7"/>
    <mergeCell ref="BS6:BS7"/>
    <mergeCell ref="BT6:BT7"/>
    <mergeCell ref="BU6:BU7"/>
    <mergeCell ref="BV6:BV7"/>
    <mergeCell ref="BW6:BW7"/>
    <mergeCell ref="BX6:BX7"/>
    <mergeCell ref="BY6:BY7"/>
    <mergeCell ref="BZ6:BZ7"/>
    <mergeCell ref="BM6:BM7"/>
    <mergeCell ref="BN6:BN7"/>
    <mergeCell ref="BO6:BO7"/>
    <mergeCell ref="BP6:BP7"/>
    <mergeCell ref="BM49:BM50"/>
    <mergeCell ref="BN49:BN50"/>
    <mergeCell ref="BO49:BO50"/>
    <mergeCell ref="BP49:BP50"/>
    <mergeCell ref="BQ6:BQ7"/>
    <mergeCell ref="CH34:CH35"/>
    <mergeCell ref="CI34:CI35"/>
    <mergeCell ref="CJ34:CJ35"/>
    <mergeCell ref="H34:H35"/>
    <mergeCell ref="I34:I35"/>
    <mergeCell ref="BX34:BX35"/>
    <mergeCell ref="BY34:BY35"/>
    <mergeCell ref="BZ34:BZ35"/>
    <mergeCell ref="CA34:CA35"/>
    <mergeCell ref="CB34:CB35"/>
    <mergeCell ref="CC34:CC35"/>
    <mergeCell ref="CD34:CD35"/>
    <mergeCell ref="CE34:CE35"/>
    <mergeCell ref="CF34:CF35"/>
    <mergeCell ref="BO34:BO35"/>
    <mergeCell ref="BP34:BP35"/>
    <mergeCell ref="BQ34:BQ35"/>
    <mergeCell ref="BR34:BR35"/>
    <mergeCell ref="BS34:BS35"/>
    <mergeCell ref="CG34:CG35"/>
    <mergeCell ref="AW34:AW35"/>
    <mergeCell ref="AX34:AX35"/>
    <mergeCell ref="AY34:AY35"/>
    <mergeCell ref="AZ34:AZ35"/>
    <mergeCell ref="BA34:BA35"/>
    <mergeCell ref="BB34:BB35"/>
    <mergeCell ref="BC34:BC35"/>
    <mergeCell ref="BD34:BD35"/>
    <mergeCell ref="BF34:BF35"/>
    <mergeCell ref="BT34:BT35"/>
    <mergeCell ref="BU34:BU35"/>
    <mergeCell ref="BV34:BV35"/>
    <mergeCell ref="BW34:BW35"/>
    <mergeCell ref="BG34:BG35"/>
    <mergeCell ref="BH34:BH35"/>
    <mergeCell ref="BI34:BI35"/>
    <mergeCell ref="BJ34:BJ35"/>
    <mergeCell ref="BK34:BK35"/>
    <mergeCell ref="BL34:BL35"/>
    <mergeCell ref="BM34:BM35"/>
    <mergeCell ref="BN34:BN35"/>
    <mergeCell ref="AN34:AN35"/>
    <mergeCell ref="AO34:AO35"/>
    <mergeCell ref="AP34:AP35"/>
    <mergeCell ref="AQ34:AQ35"/>
    <mergeCell ref="AR34:AR35"/>
    <mergeCell ref="AS34:AS35"/>
    <mergeCell ref="AT34:AT35"/>
    <mergeCell ref="AU34:AU35"/>
    <mergeCell ref="AV34:AV35"/>
    <mergeCell ref="C53:D53"/>
    <mergeCell ref="C54:D54"/>
    <mergeCell ref="A34:A35"/>
    <mergeCell ref="C34:C35"/>
    <mergeCell ref="D34:D35"/>
    <mergeCell ref="E34:E35"/>
    <mergeCell ref="F34:F35"/>
    <mergeCell ref="K34:K35"/>
    <mergeCell ref="L34:L35"/>
    <mergeCell ref="J34:J35"/>
    <mergeCell ref="C59:D59"/>
    <mergeCell ref="C60:D60"/>
    <mergeCell ref="C49:D50"/>
    <mergeCell ref="F2:G2"/>
    <mergeCell ref="C55:D55"/>
    <mergeCell ref="C56:D56"/>
    <mergeCell ref="C57:D57"/>
    <mergeCell ref="H6:H7"/>
    <mergeCell ref="H49:H50"/>
    <mergeCell ref="G6:G7"/>
    <mergeCell ref="G49:G50"/>
    <mergeCell ref="G34:G35"/>
    <mergeCell ref="A3:C3"/>
    <mergeCell ref="A6:A7"/>
    <mergeCell ref="A49:A50"/>
    <mergeCell ref="D6:D7"/>
    <mergeCell ref="C6:C7"/>
    <mergeCell ref="F6:F7"/>
    <mergeCell ref="F49:F50"/>
    <mergeCell ref="E49:E50"/>
    <mergeCell ref="A2:C2"/>
    <mergeCell ref="C58:D58"/>
    <mergeCell ref="C51:D51"/>
    <mergeCell ref="C52:D52"/>
    <mergeCell ref="J6:J7"/>
    <mergeCell ref="J49:J50"/>
    <mergeCell ref="I6:I7"/>
    <mergeCell ref="I49:I50"/>
    <mergeCell ref="AJ49:AJ50"/>
    <mergeCell ref="L6:L7"/>
    <mergeCell ref="L49:L50"/>
    <mergeCell ref="K6:K7"/>
    <mergeCell ref="K49:K50"/>
    <mergeCell ref="AF49:AF50"/>
    <mergeCell ref="AG49:AG50"/>
    <mergeCell ref="AH49:AH50"/>
    <mergeCell ref="AI49:AI50"/>
    <mergeCell ref="AB49:AB50"/>
    <mergeCell ref="AC49:AC50"/>
    <mergeCell ref="AD49:AD50"/>
    <mergeCell ref="AE49:AE50"/>
    <mergeCell ref="X49:X50"/>
    <mergeCell ref="Y49:Y50"/>
    <mergeCell ref="Z49:Z50"/>
    <mergeCell ref="M49:M50"/>
    <mergeCell ref="N49:N50"/>
    <mergeCell ref="O49:O50"/>
    <mergeCell ref="P49:P50"/>
    <mergeCell ref="Q49:Q50"/>
    <mergeCell ref="R49:R50"/>
    <mergeCell ref="S49:S50"/>
    <mergeCell ref="AD6:AD7"/>
    <mergeCell ref="AE6:AE7"/>
    <mergeCell ref="Z6:Z7"/>
    <mergeCell ref="AA6:AA7"/>
    <mergeCell ref="AB6:AB7"/>
    <mergeCell ref="AA49:AA50"/>
    <mergeCell ref="T49:T50"/>
    <mergeCell ref="U49:U50"/>
    <mergeCell ref="V49:V50"/>
    <mergeCell ref="W49:W50"/>
    <mergeCell ref="T34:T35"/>
    <mergeCell ref="U34:U35"/>
    <mergeCell ref="V34:V35"/>
    <mergeCell ref="W34:W35"/>
    <mergeCell ref="X34:X35"/>
    <mergeCell ref="Y34:Y35"/>
    <mergeCell ref="Z34:Z35"/>
    <mergeCell ref="AA34:AA35"/>
    <mergeCell ref="AB34:AB35"/>
    <mergeCell ref="AC34:AC35"/>
    <mergeCell ref="AD34:AD35"/>
    <mergeCell ref="AH34:AH35"/>
    <mergeCell ref="AI34:AI35"/>
    <mergeCell ref="AJ34:AJ35"/>
    <mergeCell ref="AK34:AK35"/>
    <mergeCell ref="AL34:AL35"/>
    <mergeCell ref="AM34:AM35"/>
    <mergeCell ref="M34:M35"/>
    <mergeCell ref="N34:N35"/>
    <mergeCell ref="O34:O35"/>
    <mergeCell ref="P34:P35"/>
    <mergeCell ref="Q34:Q35"/>
    <mergeCell ref="R34:R35"/>
    <mergeCell ref="S34:S35"/>
    <mergeCell ref="M4:X4"/>
    <mergeCell ref="M6:M7"/>
    <mergeCell ref="N6:N7"/>
    <mergeCell ref="O6:O7"/>
    <mergeCell ref="P6:P7"/>
    <mergeCell ref="Q6:Q7"/>
    <mergeCell ref="AE34:AE35"/>
    <mergeCell ref="AF34:AF35"/>
    <mergeCell ref="AG34:AG35"/>
    <mergeCell ref="AN6:AN7"/>
    <mergeCell ref="W6:W7"/>
    <mergeCell ref="X6:X7"/>
    <mergeCell ref="Y6:Y7"/>
    <mergeCell ref="R6:R7"/>
    <mergeCell ref="S6:S7"/>
    <mergeCell ref="T6:T7"/>
    <mergeCell ref="U6:U7"/>
    <mergeCell ref="AC6:AC7"/>
    <mergeCell ref="V6:V7"/>
    <mergeCell ref="AK6:AK7"/>
    <mergeCell ref="AH6:AH7"/>
    <mergeCell ref="AI6:AI7"/>
    <mergeCell ref="AJ6:AJ7"/>
    <mergeCell ref="AF6:AF7"/>
    <mergeCell ref="AG6:AG7"/>
    <mergeCell ref="AL6:AL7"/>
    <mergeCell ref="AM6:AM7"/>
    <mergeCell ref="BF6:BF7"/>
    <mergeCell ref="AO6:AO7"/>
    <mergeCell ref="AP6:AP7"/>
    <mergeCell ref="AQ6:AQ7"/>
    <mergeCell ref="AR6:AR7"/>
    <mergeCell ref="AS6:AS7"/>
    <mergeCell ref="AT6:AT7"/>
    <mergeCell ref="AU6:AU7"/>
    <mergeCell ref="AV6:AV7"/>
    <mergeCell ref="AW6:AW7"/>
    <mergeCell ref="BD49:BD50"/>
    <mergeCell ref="BE49:BE50"/>
    <mergeCell ref="AX49:AX50"/>
    <mergeCell ref="AY49:AY50"/>
    <mergeCell ref="AZ49:AZ50"/>
    <mergeCell ref="BA49:BA50"/>
    <mergeCell ref="AX6:AX7"/>
    <mergeCell ref="AY6:AY7"/>
    <mergeCell ref="AZ6:AZ7"/>
    <mergeCell ref="BA6:BA7"/>
    <mergeCell ref="BB6:BB7"/>
    <mergeCell ref="BC6:BC7"/>
    <mergeCell ref="BD6:BD7"/>
    <mergeCell ref="BE6:BE7"/>
    <mergeCell ref="BE34:BE35"/>
    <mergeCell ref="AO49:AO50"/>
    <mergeCell ref="AP49:AP50"/>
    <mergeCell ref="AQ49:AQ50"/>
    <mergeCell ref="AR49:AR50"/>
    <mergeCell ref="AS49:AS50"/>
    <mergeCell ref="AT49:AT50"/>
    <mergeCell ref="AU49:AU50"/>
    <mergeCell ref="AV49:AV50"/>
    <mergeCell ref="AW49:AW50"/>
    <mergeCell ref="H4:L5"/>
    <mergeCell ref="J2:K2"/>
    <mergeCell ref="J3:K3"/>
    <mergeCell ref="K71:L71"/>
    <mergeCell ref="BJ49:BJ50"/>
    <mergeCell ref="BK49:BK50"/>
    <mergeCell ref="BL49:BL50"/>
    <mergeCell ref="E6:E7"/>
    <mergeCell ref="BF49:BF50"/>
    <mergeCell ref="BG49:BG50"/>
    <mergeCell ref="BH49:BH50"/>
    <mergeCell ref="BI49:BI50"/>
    <mergeCell ref="BB49:BB50"/>
    <mergeCell ref="BC49:BC50"/>
    <mergeCell ref="BG6:BG7"/>
    <mergeCell ref="BH6:BH7"/>
    <mergeCell ref="BI6:BI7"/>
    <mergeCell ref="BJ6:BJ7"/>
    <mergeCell ref="BK6:BK7"/>
    <mergeCell ref="BL6:BL7"/>
    <mergeCell ref="AK49:AK50"/>
    <mergeCell ref="AL49:AL50"/>
    <mergeCell ref="AM49:AM50"/>
    <mergeCell ref="AN49:AN50"/>
  </mergeCells>
  <phoneticPr fontId="2" type="noConversion"/>
  <conditionalFormatting sqref="E67">
    <cfRule type="expression" priority="30" stopIfTrue="1">
      <formula>$D$64</formula>
    </cfRule>
  </conditionalFormatting>
  <conditionalFormatting sqref="H2">
    <cfRule type="cellIs" dxfId="90" priority="21" operator="equal">
      <formula>0</formula>
    </cfRule>
    <cfRule type="cellIs" dxfId="89" priority="22" operator="lessThan">
      <formula>0.4</formula>
    </cfRule>
  </conditionalFormatting>
  <dataValidations count="9">
    <dataValidation type="list" allowBlank="1" showInputMessage="1" showErrorMessage="1" sqref="C8:C31" xr:uid="{00000000-0002-0000-0100-000000000000}">
      <formula1>EmplList3</formula1>
    </dataValidation>
    <dataValidation type="decimal" allowBlank="1" showInputMessage="1" showErrorMessage="1" error="Please enter a valid dollar amount. " sqref="G8:G31" xr:uid="{00000000-0002-0000-0100-000001000000}">
      <formula1>0</formula1>
      <formula2>10000</formula2>
    </dataValidation>
    <dataValidation allowBlank="1" showInputMessage="1" showErrorMessage="1" error="Please enter a valid dollar amount. " sqref="F51:G60" xr:uid="{00000000-0002-0000-0100-000002000000}"/>
    <dataValidation type="whole" allowBlank="1" showErrorMessage="1" errorTitle="Please enter a whole number" error="Enter whole days per week only." promptTitle="Please enter a whole number" prompt="Numbers of hours per week must be a whole number, or blank." sqref="CE36:CJ44" xr:uid="{00000000-0002-0000-0100-000003000000}">
      <formula1>0</formula1>
      <formula2>7</formula2>
    </dataValidation>
    <dataValidation type="list" allowBlank="1" showInputMessage="1" showErrorMessage="1" sqref="C36:C46" xr:uid="{00000000-0002-0000-0100-000004000000}">
      <formula1>NearShore</formula1>
    </dataValidation>
    <dataValidation type="list" allowBlank="1" showDropDown="1" showErrorMessage="1" errorTitle="Please enter a whole number" error="Days per week cannot exceed 7, and partial days must be counted as half-days." sqref="M8:CD31" xr:uid="{00000000-0002-0000-0100-000005000000}">
      <formula1>$R$3:$AE$3</formula1>
    </dataValidation>
    <dataValidation allowBlank="1" showDropDown="1" showErrorMessage="1" errorTitle="Please enter a whole number" sqref="M51:CD60" xr:uid="{00000000-0002-0000-0100-000006000000}"/>
    <dataValidation type="list" allowBlank="1" showDropDown="1" showErrorMessage="1" errorTitle="Please enter a whole number" error="Days per week cannot exceed 7 and partial days are not allowed for Project Controllers and Near Shore." sqref="M36:CD46" xr:uid="{00000000-0002-0000-0100-000007000000}">
      <formula1>$R$3:$AE$3</formula1>
    </dataValidation>
    <dataValidation type="list" allowBlank="1" showInputMessage="1" showErrorMessage="1" sqref="B8:B31 B36:B46 B51:B60" xr:uid="{00000000-0002-0000-0100-000008000000}">
      <formula1>SvcArea</formula1>
    </dataValidation>
  </dataValidations>
  <pageMargins left="0.75" right="0.75" top="1" bottom="1" header="0.5" footer="0.5"/>
  <pageSetup orientation="portrait" r:id="rId1"/>
  <headerFooter alignWithMargins="0"/>
  <ignoredErrors>
    <ignoredError sqref="G46 G37:G44" unlocked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H83"/>
  <sheetViews>
    <sheetView showGridLines="0" tabSelected="1" topLeftCell="A15" zoomScale="80" zoomScaleNormal="80" zoomScalePageLayoutView="80" workbookViewId="0">
      <selection activeCell="C45" sqref="C45"/>
    </sheetView>
  </sheetViews>
  <sheetFormatPr defaultColWidth="8.703125" defaultRowHeight="13" x14ac:dyDescent="0.45"/>
  <cols>
    <col min="1" max="1" width="24.703125" style="74" customWidth="1"/>
    <col min="2" max="2" width="26.1171875" style="74" customWidth="1"/>
    <col min="3" max="3" width="20.703125" style="74" customWidth="1"/>
    <col min="4" max="4" width="15.29296875" style="74" customWidth="1"/>
    <col min="5" max="5" width="12.29296875" style="75" customWidth="1"/>
    <col min="6" max="6" width="12.703125" style="76" customWidth="1"/>
    <col min="7" max="7" width="17" style="76" bestFit="1" customWidth="1"/>
    <col min="8" max="8" width="16" style="76" customWidth="1"/>
    <col min="9" max="9" width="18.703125" style="76" customWidth="1"/>
    <col min="10" max="10" width="14.29296875" style="76" customWidth="1"/>
    <col min="11" max="86" width="12.703125" style="74" customWidth="1"/>
    <col min="87" max="16384" width="8.703125" style="74"/>
  </cols>
  <sheetData>
    <row r="1" spans="1:86" hidden="1" x14ac:dyDescent="0.45">
      <c r="L1" s="74">
        <v>3</v>
      </c>
    </row>
    <row r="2" spans="1:86" ht="13.35" thickBot="1" x14ac:dyDescent="0.5">
      <c r="C2" s="76"/>
      <c r="N2" s="49" t="b">
        <v>0</v>
      </c>
      <c r="O2" s="77">
        <f>IF(N2=TRUE,Data!AE3,Data!AE2)</f>
        <v>1</v>
      </c>
    </row>
    <row r="3" spans="1:86" ht="15.7" thickBot="1" x14ac:dyDescent="0.55000000000000004">
      <c r="A3" s="305" t="s">
        <v>90</v>
      </c>
      <c r="B3" s="306"/>
      <c r="C3" s="306"/>
      <c r="D3" s="78">
        <v>966850</v>
      </c>
      <c r="F3" s="299" t="s">
        <v>39</v>
      </c>
      <c r="G3" s="300"/>
      <c r="H3" s="79">
        <f>IF(H35=0,0,ROUNDDOWN((((D7-H52))/H35),10))</f>
        <v>0.4825872907</v>
      </c>
      <c r="I3" s="80"/>
      <c r="J3" s="275" t="s">
        <v>175</v>
      </c>
      <c r="K3" s="276"/>
      <c r="L3" s="81">
        <f>IF(I66=0,,(I66-H66)/I66)</f>
        <v>0</v>
      </c>
      <c r="N3" s="82"/>
      <c r="O3" s="82"/>
    </row>
    <row r="4" spans="1:86" ht="35.25" customHeight="1" thickBot="1" x14ac:dyDescent="0.55000000000000004">
      <c r="A4" s="307" t="s">
        <v>91</v>
      </c>
      <c r="B4" s="308"/>
      <c r="C4" s="308"/>
      <c r="D4" s="83">
        <v>0</v>
      </c>
      <c r="F4" s="290" t="s">
        <v>280</v>
      </c>
      <c r="G4" s="290"/>
      <c r="H4" s="84"/>
      <c r="I4" s="80"/>
      <c r="J4" s="80"/>
      <c r="K4" s="85">
        <v>1</v>
      </c>
      <c r="L4" s="85">
        <v>2</v>
      </c>
      <c r="M4" s="85">
        <v>3</v>
      </c>
      <c r="N4" s="86">
        <v>4</v>
      </c>
      <c r="O4" s="86">
        <v>5</v>
      </c>
      <c r="P4" s="85">
        <v>6</v>
      </c>
      <c r="Q4" s="85">
        <v>7</v>
      </c>
      <c r="R4" s="87">
        <v>0.5</v>
      </c>
      <c r="S4" s="87">
        <v>1.5</v>
      </c>
      <c r="T4" s="87">
        <v>2.5</v>
      </c>
      <c r="U4" s="87">
        <v>3.5</v>
      </c>
      <c r="V4" s="87">
        <v>4.5</v>
      </c>
      <c r="W4" s="87">
        <v>5.5</v>
      </c>
      <c r="X4" s="87">
        <v>6.5</v>
      </c>
    </row>
    <row r="5" spans="1:86" ht="18.75" customHeight="1" thickBot="1" x14ac:dyDescent="0.55000000000000004">
      <c r="A5" s="295" t="s">
        <v>272</v>
      </c>
      <c r="B5" s="296"/>
      <c r="C5" s="297"/>
      <c r="D5" s="88">
        <f>I66</f>
        <v>0</v>
      </c>
      <c r="F5" s="299" t="s">
        <v>281</v>
      </c>
      <c r="G5" s="300"/>
      <c r="H5" s="81"/>
      <c r="I5" s="89"/>
      <c r="J5" s="90"/>
      <c r="K5" s="91">
        <v>0.5</v>
      </c>
      <c r="L5" s="92">
        <v>1.5</v>
      </c>
      <c r="M5" s="85">
        <v>2.5</v>
      </c>
      <c r="N5" s="85">
        <v>3.5</v>
      </c>
      <c r="O5" s="85">
        <v>4.5</v>
      </c>
      <c r="P5" s="93">
        <v>5.5</v>
      </c>
      <c r="Q5" s="85">
        <v>6.5</v>
      </c>
    </row>
    <row r="6" spans="1:86" ht="18.75" hidden="1" customHeight="1" thickBot="1" x14ac:dyDescent="0.55000000000000004">
      <c r="A6" s="292"/>
      <c r="B6" s="293"/>
      <c r="C6" s="294"/>
      <c r="D6" s="94"/>
      <c r="F6" s="74"/>
      <c r="G6" s="74"/>
      <c r="H6" s="74"/>
      <c r="I6" s="74"/>
      <c r="J6" s="74"/>
    </row>
    <row r="7" spans="1:86" s="76" customFormat="1" ht="18.75" customHeight="1" thickBot="1" x14ac:dyDescent="0.55000000000000004">
      <c r="A7" s="303" t="s">
        <v>89</v>
      </c>
      <c r="B7" s="296"/>
      <c r="C7" s="304"/>
      <c r="D7" s="95">
        <f>D3-D4-D5+D6</f>
        <v>966850</v>
      </c>
      <c r="E7" s="96"/>
      <c r="F7" s="97" t="s">
        <v>305</v>
      </c>
      <c r="G7" s="98">
        <f>IF(J68&lt;&gt;0,I68/J68," ")</f>
        <v>151.6462129774313</v>
      </c>
      <c r="H7" s="288"/>
      <c r="I7" s="288"/>
      <c r="J7" s="288"/>
      <c r="K7" s="309" t="s">
        <v>270</v>
      </c>
      <c r="L7" s="309"/>
      <c r="M7" s="309"/>
      <c r="N7" s="309"/>
      <c r="O7" s="309"/>
      <c r="P7" s="309"/>
      <c r="Q7" s="309"/>
      <c r="R7" s="309"/>
      <c r="S7" s="309"/>
      <c r="T7" s="309"/>
      <c r="U7" s="309"/>
      <c r="V7" s="309"/>
    </row>
    <row r="8" spans="1:86" s="76" customFormat="1" ht="18.75" customHeight="1" thickBot="1" x14ac:dyDescent="0.55000000000000004">
      <c r="D8" s="99"/>
      <c r="E8" s="96"/>
      <c r="F8" s="97" t="s">
        <v>283</v>
      </c>
      <c r="G8" s="98">
        <f>IF(J35&lt;&gt;0,I35/(J35*9)," ")</f>
        <v>187.06302676060687</v>
      </c>
      <c r="H8" s="289"/>
      <c r="I8" s="289"/>
      <c r="J8" s="289"/>
      <c r="K8" s="100">
        <f>FrontPage!B17</f>
        <v>43017</v>
      </c>
      <c r="L8" s="100">
        <f>7+K8</f>
        <v>43024</v>
      </c>
      <c r="M8" s="100">
        <f t="shared" ref="M8:BJ8" si="0">7+L8</f>
        <v>43031</v>
      </c>
      <c r="N8" s="100">
        <f t="shared" si="0"/>
        <v>43038</v>
      </c>
      <c r="O8" s="100">
        <f t="shared" si="0"/>
        <v>43045</v>
      </c>
      <c r="P8" s="100">
        <f t="shared" si="0"/>
        <v>43052</v>
      </c>
      <c r="Q8" s="100">
        <f t="shared" si="0"/>
        <v>43059</v>
      </c>
      <c r="R8" s="100">
        <f t="shared" si="0"/>
        <v>43066</v>
      </c>
      <c r="S8" s="100">
        <f t="shared" si="0"/>
        <v>43073</v>
      </c>
      <c r="T8" s="100">
        <f t="shared" si="0"/>
        <v>43080</v>
      </c>
      <c r="U8" s="100">
        <f t="shared" si="0"/>
        <v>43087</v>
      </c>
      <c r="V8" s="100">
        <f t="shared" si="0"/>
        <v>43094</v>
      </c>
      <c r="W8" s="100">
        <f t="shared" si="0"/>
        <v>43101</v>
      </c>
      <c r="X8" s="100">
        <f t="shared" si="0"/>
        <v>43108</v>
      </c>
      <c r="Y8" s="100">
        <f t="shared" si="0"/>
        <v>43115</v>
      </c>
      <c r="Z8" s="100">
        <f t="shared" si="0"/>
        <v>43122</v>
      </c>
      <c r="AA8" s="100">
        <f t="shared" si="0"/>
        <v>43129</v>
      </c>
      <c r="AB8" s="100">
        <f t="shared" si="0"/>
        <v>43136</v>
      </c>
      <c r="AC8" s="100">
        <f t="shared" si="0"/>
        <v>43143</v>
      </c>
      <c r="AD8" s="100">
        <f t="shared" si="0"/>
        <v>43150</v>
      </c>
      <c r="AE8" s="100">
        <f t="shared" si="0"/>
        <v>43157</v>
      </c>
      <c r="AF8" s="100">
        <f t="shared" si="0"/>
        <v>43164</v>
      </c>
      <c r="AG8" s="100">
        <f t="shared" si="0"/>
        <v>43171</v>
      </c>
      <c r="AH8" s="100">
        <f t="shared" si="0"/>
        <v>43178</v>
      </c>
      <c r="AI8" s="100">
        <f t="shared" si="0"/>
        <v>43185</v>
      </c>
      <c r="AJ8" s="100">
        <f t="shared" si="0"/>
        <v>43192</v>
      </c>
      <c r="AK8" s="100">
        <f t="shared" si="0"/>
        <v>43199</v>
      </c>
      <c r="AL8" s="100">
        <f t="shared" si="0"/>
        <v>43206</v>
      </c>
      <c r="AM8" s="100">
        <f t="shared" si="0"/>
        <v>43213</v>
      </c>
      <c r="AN8" s="100">
        <f t="shared" si="0"/>
        <v>43220</v>
      </c>
      <c r="AO8" s="100">
        <f t="shared" si="0"/>
        <v>43227</v>
      </c>
      <c r="AP8" s="100">
        <f t="shared" si="0"/>
        <v>43234</v>
      </c>
      <c r="AQ8" s="100">
        <f t="shared" si="0"/>
        <v>43241</v>
      </c>
      <c r="AR8" s="100">
        <f t="shared" si="0"/>
        <v>43248</v>
      </c>
      <c r="AS8" s="100">
        <f t="shared" si="0"/>
        <v>43255</v>
      </c>
      <c r="AT8" s="100">
        <f t="shared" si="0"/>
        <v>43262</v>
      </c>
      <c r="AU8" s="100">
        <f t="shared" si="0"/>
        <v>43269</v>
      </c>
      <c r="AV8" s="100">
        <f t="shared" si="0"/>
        <v>43276</v>
      </c>
      <c r="AW8" s="100">
        <f t="shared" si="0"/>
        <v>43283</v>
      </c>
      <c r="AX8" s="100">
        <f t="shared" si="0"/>
        <v>43290</v>
      </c>
      <c r="AY8" s="100">
        <f t="shared" si="0"/>
        <v>43297</v>
      </c>
      <c r="AZ8" s="100">
        <f t="shared" si="0"/>
        <v>43304</v>
      </c>
      <c r="BA8" s="100">
        <f t="shared" si="0"/>
        <v>43311</v>
      </c>
      <c r="BB8" s="100">
        <f t="shared" si="0"/>
        <v>43318</v>
      </c>
      <c r="BC8" s="100">
        <f t="shared" si="0"/>
        <v>43325</v>
      </c>
      <c r="BD8" s="100">
        <f t="shared" si="0"/>
        <v>43332</v>
      </c>
      <c r="BE8" s="100">
        <f t="shared" si="0"/>
        <v>43339</v>
      </c>
      <c r="BF8" s="100">
        <f t="shared" si="0"/>
        <v>43346</v>
      </c>
      <c r="BG8" s="100">
        <f t="shared" si="0"/>
        <v>43353</v>
      </c>
      <c r="BH8" s="100">
        <f t="shared" si="0"/>
        <v>43360</v>
      </c>
      <c r="BI8" s="100">
        <f t="shared" si="0"/>
        <v>43367</v>
      </c>
      <c r="BJ8" s="100">
        <f t="shared" si="0"/>
        <v>43374</v>
      </c>
      <c r="BK8" s="100">
        <f t="shared" ref="BK8:CH8" si="1">7+BJ8</f>
        <v>43381</v>
      </c>
      <c r="BL8" s="100">
        <f t="shared" si="1"/>
        <v>43388</v>
      </c>
      <c r="BM8" s="100">
        <f t="shared" si="1"/>
        <v>43395</v>
      </c>
      <c r="BN8" s="100">
        <f t="shared" si="1"/>
        <v>43402</v>
      </c>
      <c r="BO8" s="100">
        <f t="shared" si="1"/>
        <v>43409</v>
      </c>
      <c r="BP8" s="100">
        <f t="shared" si="1"/>
        <v>43416</v>
      </c>
      <c r="BQ8" s="100">
        <f t="shared" si="1"/>
        <v>43423</v>
      </c>
      <c r="BR8" s="100">
        <f t="shared" si="1"/>
        <v>43430</v>
      </c>
      <c r="BS8" s="100">
        <f t="shared" si="1"/>
        <v>43437</v>
      </c>
      <c r="BT8" s="100">
        <f t="shared" si="1"/>
        <v>43444</v>
      </c>
      <c r="BU8" s="100">
        <f t="shared" si="1"/>
        <v>43451</v>
      </c>
      <c r="BV8" s="100">
        <f t="shared" si="1"/>
        <v>43458</v>
      </c>
      <c r="BW8" s="100">
        <f t="shared" si="1"/>
        <v>43465</v>
      </c>
      <c r="BX8" s="100">
        <f t="shared" si="1"/>
        <v>43472</v>
      </c>
      <c r="BY8" s="100">
        <f t="shared" si="1"/>
        <v>43479</v>
      </c>
      <c r="BZ8" s="100">
        <f t="shared" si="1"/>
        <v>43486</v>
      </c>
      <c r="CA8" s="100">
        <f t="shared" si="1"/>
        <v>43493</v>
      </c>
      <c r="CB8" s="100">
        <f t="shared" si="1"/>
        <v>43500</v>
      </c>
      <c r="CC8" s="100">
        <f t="shared" si="1"/>
        <v>43507</v>
      </c>
      <c r="CD8" s="100">
        <f t="shared" si="1"/>
        <v>43514</v>
      </c>
      <c r="CE8" s="100">
        <f t="shared" si="1"/>
        <v>43521</v>
      </c>
      <c r="CF8" s="100">
        <f t="shared" si="1"/>
        <v>43528</v>
      </c>
      <c r="CG8" s="100">
        <f t="shared" si="1"/>
        <v>43535</v>
      </c>
      <c r="CH8" s="100">
        <f t="shared" si="1"/>
        <v>43542</v>
      </c>
    </row>
    <row r="9" spans="1:86" s="101" customFormat="1" ht="15" customHeight="1" x14ac:dyDescent="0.45">
      <c r="A9" s="279" t="s">
        <v>477</v>
      </c>
      <c r="B9" s="261" t="s">
        <v>542</v>
      </c>
      <c r="C9" s="261" t="s">
        <v>476</v>
      </c>
      <c r="D9" s="261" t="s">
        <v>0</v>
      </c>
      <c r="E9" s="283"/>
      <c r="F9" s="261" t="s">
        <v>31</v>
      </c>
      <c r="G9" s="261" t="s">
        <v>29</v>
      </c>
      <c r="H9" s="261" t="s">
        <v>28</v>
      </c>
      <c r="I9" s="261" t="s">
        <v>27</v>
      </c>
      <c r="J9" s="261" t="s">
        <v>271</v>
      </c>
      <c r="K9" s="298" t="s">
        <v>2</v>
      </c>
      <c r="L9" s="298" t="s">
        <v>3</v>
      </c>
      <c r="M9" s="298" t="s">
        <v>4</v>
      </c>
      <c r="N9" s="298" t="s">
        <v>5</v>
      </c>
      <c r="O9" s="298" t="s">
        <v>6</v>
      </c>
      <c r="P9" s="298" t="s">
        <v>7</v>
      </c>
      <c r="Q9" s="298" t="s">
        <v>8</v>
      </c>
      <c r="R9" s="298" t="s">
        <v>9</v>
      </c>
      <c r="S9" s="298" t="s">
        <v>10</v>
      </c>
      <c r="T9" s="298" t="s">
        <v>11</v>
      </c>
      <c r="U9" s="298" t="s">
        <v>12</v>
      </c>
      <c r="V9" s="298" t="s">
        <v>13</v>
      </c>
      <c r="W9" s="298" t="s">
        <v>14</v>
      </c>
      <c r="X9" s="298" t="s">
        <v>15</v>
      </c>
      <c r="Y9" s="298" t="s">
        <v>16</v>
      </c>
      <c r="Z9" s="298" t="s">
        <v>17</v>
      </c>
      <c r="AA9" s="298" t="s">
        <v>18</v>
      </c>
      <c r="AB9" s="298" t="s">
        <v>19</v>
      </c>
      <c r="AC9" s="298" t="s">
        <v>20</v>
      </c>
      <c r="AD9" s="298" t="s">
        <v>21</v>
      </c>
      <c r="AE9" s="298" t="s">
        <v>22</v>
      </c>
      <c r="AF9" s="298" t="s">
        <v>23</v>
      </c>
      <c r="AG9" s="298" t="s">
        <v>24</v>
      </c>
      <c r="AH9" s="298" t="s">
        <v>25</v>
      </c>
      <c r="AI9" s="298" t="s">
        <v>61</v>
      </c>
      <c r="AJ9" s="298" t="s">
        <v>62</v>
      </c>
      <c r="AK9" s="298" t="s">
        <v>63</v>
      </c>
      <c r="AL9" s="298" t="s">
        <v>64</v>
      </c>
      <c r="AM9" s="298" t="s">
        <v>65</v>
      </c>
      <c r="AN9" s="298" t="s">
        <v>66</v>
      </c>
      <c r="AO9" s="298" t="s">
        <v>67</v>
      </c>
      <c r="AP9" s="298" t="s">
        <v>68</v>
      </c>
      <c r="AQ9" s="298" t="s">
        <v>69</v>
      </c>
      <c r="AR9" s="298" t="s">
        <v>70</v>
      </c>
      <c r="AS9" s="298" t="s">
        <v>71</v>
      </c>
      <c r="AT9" s="298" t="s">
        <v>72</v>
      </c>
      <c r="AU9" s="298" t="s">
        <v>73</v>
      </c>
      <c r="AV9" s="298" t="s">
        <v>74</v>
      </c>
      <c r="AW9" s="298" t="s">
        <v>75</v>
      </c>
      <c r="AX9" s="298" t="s">
        <v>76</v>
      </c>
      <c r="AY9" s="298" t="s">
        <v>77</v>
      </c>
      <c r="AZ9" s="298" t="s">
        <v>78</v>
      </c>
      <c r="BA9" s="298" t="s">
        <v>79</v>
      </c>
      <c r="BB9" s="298" t="s">
        <v>80</v>
      </c>
      <c r="BC9" s="298" t="s">
        <v>81</v>
      </c>
      <c r="BD9" s="298" t="s">
        <v>82</v>
      </c>
      <c r="BE9" s="298" t="s">
        <v>83</v>
      </c>
      <c r="BF9" s="298" t="s">
        <v>84</v>
      </c>
      <c r="BG9" s="298" t="s">
        <v>85</v>
      </c>
      <c r="BH9" s="298" t="s">
        <v>86</v>
      </c>
      <c r="BI9" s="298" t="s">
        <v>87</v>
      </c>
      <c r="BJ9" s="310" t="s">
        <v>88</v>
      </c>
      <c r="BK9" s="315" t="s">
        <v>195</v>
      </c>
      <c r="BL9" s="298" t="s">
        <v>196</v>
      </c>
      <c r="BM9" s="298" t="s">
        <v>197</v>
      </c>
      <c r="BN9" s="298" t="s">
        <v>198</v>
      </c>
      <c r="BO9" s="298" t="s">
        <v>199</v>
      </c>
      <c r="BP9" s="298" t="s">
        <v>200</v>
      </c>
      <c r="BQ9" s="298" t="s">
        <v>201</v>
      </c>
      <c r="BR9" s="298" t="s">
        <v>202</v>
      </c>
      <c r="BS9" s="298" t="s">
        <v>203</v>
      </c>
      <c r="BT9" s="298" t="s">
        <v>204</v>
      </c>
      <c r="BU9" s="298" t="s">
        <v>205</v>
      </c>
      <c r="BV9" s="298" t="s">
        <v>206</v>
      </c>
      <c r="BW9" s="298" t="s">
        <v>207</v>
      </c>
      <c r="BX9" s="298" t="s">
        <v>208</v>
      </c>
      <c r="BY9" s="298" t="s">
        <v>209</v>
      </c>
      <c r="BZ9" s="298" t="s">
        <v>210</v>
      </c>
      <c r="CA9" s="298" t="s">
        <v>211</v>
      </c>
      <c r="CB9" s="298" t="s">
        <v>212</v>
      </c>
      <c r="CC9" s="298" t="s">
        <v>213</v>
      </c>
      <c r="CD9" s="298" t="s">
        <v>214</v>
      </c>
      <c r="CE9" s="298" t="s">
        <v>215</v>
      </c>
      <c r="CF9" s="298" t="s">
        <v>216</v>
      </c>
      <c r="CG9" s="298" t="s">
        <v>217</v>
      </c>
      <c r="CH9" s="310" t="s">
        <v>218</v>
      </c>
    </row>
    <row r="10" spans="1:86" s="101" customFormat="1" ht="13.35" thickBot="1" x14ac:dyDescent="0.5">
      <c r="A10" s="280"/>
      <c r="B10" s="262"/>
      <c r="C10" s="262"/>
      <c r="D10" s="262"/>
      <c r="E10" s="284"/>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2"/>
      <c r="AI10" s="262"/>
      <c r="AJ10" s="262"/>
      <c r="AK10" s="262"/>
      <c r="AL10" s="262"/>
      <c r="AM10" s="262"/>
      <c r="AN10" s="262"/>
      <c r="AO10" s="262"/>
      <c r="AP10" s="262"/>
      <c r="AQ10" s="262"/>
      <c r="AR10" s="262"/>
      <c r="AS10" s="262"/>
      <c r="AT10" s="262"/>
      <c r="AU10" s="262"/>
      <c r="AV10" s="262"/>
      <c r="AW10" s="262"/>
      <c r="AX10" s="262"/>
      <c r="AY10" s="262"/>
      <c r="AZ10" s="262"/>
      <c r="BA10" s="262"/>
      <c r="BB10" s="262"/>
      <c r="BC10" s="262"/>
      <c r="BD10" s="262"/>
      <c r="BE10" s="262"/>
      <c r="BF10" s="262"/>
      <c r="BG10" s="262"/>
      <c r="BH10" s="262"/>
      <c r="BI10" s="262"/>
      <c r="BJ10" s="265"/>
      <c r="BK10" s="280"/>
      <c r="BL10" s="262"/>
      <c r="BM10" s="262"/>
      <c r="BN10" s="262"/>
      <c r="BO10" s="262"/>
      <c r="BP10" s="262"/>
      <c r="BQ10" s="262"/>
      <c r="BR10" s="262"/>
      <c r="BS10" s="262"/>
      <c r="BT10" s="262"/>
      <c r="BU10" s="262"/>
      <c r="BV10" s="262"/>
      <c r="BW10" s="262"/>
      <c r="BX10" s="262"/>
      <c r="BY10" s="262"/>
      <c r="BZ10" s="262"/>
      <c r="CA10" s="262"/>
      <c r="CB10" s="262"/>
      <c r="CC10" s="262"/>
      <c r="CD10" s="262"/>
      <c r="CE10" s="262"/>
      <c r="CF10" s="262"/>
      <c r="CG10" s="262"/>
      <c r="CH10" s="265"/>
    </row>
    <row r="11" spans="1:86" ht="15" customHeight="1" x14ac:dyDescent="0.45">
      <c r="A11" s="102" t="s">
        <v>685</v>
      </c>
      <c r="B11" s="103" t="s">
        <v>159</v>
      </c>
      <c r="C11" s="45" t="s">
        <v>262</v>
      </c>
      <c r="D11" s="105" t="str">
        <f t="shared" ref="D11:D30" si="2">IF(ISERROR(VLOOKUP(C11,Level,2,0)),"",VLOOKUP(C11,Level,2,0))</f>
        <v>Partner - 2</v>
      </c>
      <c r="E11" s="205">
        <f t="shared" ref="E11:E30" si="3">IF(ISERROR(VLOOKUP(D11, LevelRates,2,FALSE)),0,VLOOKUP(D11, LevelRates,2,FALSE))</f>
        <v>5250</v>
      </c>
      <c r="F11" s="206">
        <f>E11*O$2</f>
        <v>5250</v>
      </c>
      <c r="G11" s="206">
        <f t="shared" ref="G11:G30" si="4">RlznRate*F11</f>
        <v>2533.5832761749998</v>
      </c>
      <c r="H11" s="106">
        <f>F11*J11</f>
        <v>78750</v>
      </c>
      <c r="I11" s="106">
        <f>G11*J11</f>
        <v>38003.749142624998</v>
      </c>
      <c r="J11" s="107">
        <f>SUM(K11:CH11)</f>
        <v>15</v>
      </c>
      <c r="K11" s="108">
        <v>1</v>
      </c>
      <c r="L11" s="108">
        <v>1</v>
      </c>
      <c r="M11" s="108">
        <v>1</v>
      </c>
      <c r="N11" s="108">
        <v>1</v>
      </c>
      <c r="O11" s="108">
        <v>1</v>
      </c>
      <c r="P11" s="108">
        <v>1</v>
      </c>
      <c r="Q11" s="108">
        <v>1</v>
      </c>
      <c r="R11" s="108">
        <v>1</v>
      </c>
      <c r="S11" s="108">
        <v>1</v>
      </c>
      <c r="T11" s="108">
        <v>1</v>
      </c>
      <c r="U11" s="108">
        <v>1</v>
      </c>
      <c r="V11" s="108"/>
      <c r="W11" s="108"/>
      <c r="X11" s="108">
        <v>1</v>
      </c>
      <c r="Y11" s="108">
        <v>1</v>
      </c>
      <c r="Z11" s="108">
        <v>1</v>
      </c>
      <c r="AA11" s="108">
        <v>1</v>
      </c>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c r="BY11" s="108"/>
      <c r="BZ11" s="108"/>
      <c r="CA11" s="108"/>
      <c r="CB11" s="108"/>
      <c r="CC11" s="108"/>
      <c r="CD11" s="108"/>
      <c r="CE11" s="108"/>
      <c r="CF11" s="108"/>
      <c r="CG11" s="108"/>
      <c r="CH11" s="108"/>
    </row>
    <row r="12" spans="1:86" ht="15" customHeight="1" x14ac:dyDescent="0.45">
      <c r="A12" s="102" t="s">
        <v>686</v>
      </c>
      <c r="B12" s="103" t="s">
        <v>159</v>
      </c>
      <c r="C12" s="45" t="s">
        <v>228</v>
      </c>
      <c r="D12" s="105" t="str">
        <f t="shared" si="2"/>
        <v>Director</v>
      </c>
      <c r="E12" s="205">
        <f t="shared" si="3"/>
        <v>5000</v>
      </c>
      <c r="F12" s="206">
        <f t="shared" ref="F12:F30" si="5">E12*O$2</f>
        <v>5000</v>
      </c>
      <c r="G12" s="206">
        <f t="shared" si="4"/>
        <v>2412.9364535</v>
      </c>
      <c r="H12" s="106">
        <f>F12*J12</f>
        <v>185000</v>
      </c>
      <c r="I12" s="106">
        <f>G12*J12</f>
        <v>89278.648779499999</v>
      </c>
      <c r="J12" s="107">
        <f>SUM(K12:CH12)</f>
        <v>37</v>
      </c>
      <c r="K12" s="108">
        <v>3</v>
      </c>
      <c r="L12" s="108">
        <v>3</v>
      </c>
      <c r="M12" s="108">
        <v>3</v>
      </c>
      <c r="N12" s="108">
        <v>3</v>
      </c>
      <c r="O12" s="108">
        <v>3</v>
      </c>
      <c r="P12" s="108">
        <v>3</v>
      </c>
      <c r="Q12" s="108">
        <v>3</v>
      </c>
      <c r="R12" s="108">
        <v>2</v>
      </c>
      <c r="S12" s="108">
        <v>2</v>
      </c>
      <c r="T12" s="108">
        <v>2</v>
      </c>
      <c r="U12" s="108">
        <v>2</v>
      </c>
      <c r="V12" s="108"/>
      <c r="W12" s="108"/>
      <c r="X12" s="108">
        <v>2</v>
      </c>
      <c r="Y12" s="108">
        <v>2</v>
      </c>
      <c r="Z12" s="108">
        <v>2</v>
      </c>
      <c r="AA12" s="108">
        <v>2</v>
      </c>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c r="BY12" s="108"/>
      <c r="BZ12" s="108"/>
      <c r="CA12" s="108"/>
      <c r="CB12" s="108"/>
      <c r="CC12" s="108"/>
      <c r="CD12" s="108"/>
      <c r="CE12" s="108"/>
      <c r="CF12" s="108"/>
      <c r="CG12" s="108"/>
      <c r="CH12" s="108"/>
    </row>
    <row r="13" spans="1:86" ht="15" customHeight="1" x14ac:dyDescent="0.45">
      <c r="A13" s="102" t="s">
        <v>687</v>
      </c>
      <c r="B13" s="103" t="s">
        <v>159</v>
      </c>
      <c r="C13" s="45" t="s">
        <v>318</v>
      </c>
      <c r="D13" s="105" t="str">
        <f>IF(ISERROR(VLOOKUP(C13,Level,2,0)),"",VLOOKUP(C13,Level,2,0))</f>
        <v>Sr Manager - 1</v>
      </c>
      <c r="E13" s="205">
        <f t="shared" si="3"/>
        <v>4450</v>
      </c>
      <c r="F13" s="206">
        <f t="shared" si="5"/>
        <v>4450</v>
      </c>
      <c r="G13" s="206">
        <f t="shared" si="4"/>
        <v>2147.5134436150001</v>
      </c>
      <c r="H13" s="106">
        <f>F13*J13</f>
        <v>333750</v>
      </c>
      <c r="I13" s="106">
        <f>G13*J13</f>
        <v>161063.508271125</v>
      </c>
      <c r="J13" s="107">
        <f>SUM(K13:CH13)</f>
        <v>75</v>
      </c>
      <c r="K13" s="108">
        <v>5</v>
      </c>
      <c r="L13" s="108">
        <v>5</v>
      </c>
      <c r="M13" s="108">
        <v>5</v>
      </c>
      <c r="N13" s="108">
        <v>5</v>
      </c>
      <c r="O13" s="108">
        <v>5</v>
      </c>
      <c r="P13" s="108">
        <v>5</v>
      </c>
      <c r="Q13" s="108">
        <v>5</v>
      </c>
      <c r="R13" s="108">
        <v>5</v>
      </c>
      <c r="S13" s="108">
        <v>5</v>
      </c>
      <c r="T13" s="108">
        <v>5</v>
      </c>
      <c r="U13" s="108">
        <v>5</v>
      </c>
      <c r="V13" s="108"/>
      <c r="W13" s="108"/>
      <c r="X13" s="108">
        <v>5</v>
      </c>
      <c r="Y13" s="108">
        <v>5</v>
      </c>
      <c r="Z13" s="108">
        <v>5</v>
      </c>
      <c r="AA13" s="108">
        <v>5</v>
      </c>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row>
    <row r="14" spans="1:86" ht="15" customHeight="1" x14ac:dyDescent="0.45">
      <c r="A14" s="102" t="s">
        <v>688</v>
      </c>
      <c r="B14" s="103" t="s">
        <v>159</v>
      </c>
      <c r="C14" s="45" t="s">
        <v>235</v>
      </c>
      <c r="D14" s="105" t="str">
        <f t="shared" si="2"/>
        <v>Fellow - 2</v>
      </c>
      <c r="E14" s="205">
        <f t="shared" si="3"/>
        <v>4750</v>
      </c>
      <c r="F14" s="206">
        <f t="shared" si="5"/>
        <v>4750</v>
      </c>
      <c r="G14" s="206">
        <f t="shared" si="4"/>
        <v>2292.2896308250001</v>
      </c>
      <c r="H14" s="106">
        <f>F14*J14</f>
        <v>356250</v>
      </c>
      <c r="I14" s="106">
        <f>G14*J14</f>
        <v>171921.722311875</v>
      </c>
      <c r="J14" s="107">
        <f>SUM(K14:CH14)</f>
        <v>75</v>
      </c>
      <c r="K14" s="108">
        <v>5</v>
      </c>
      <c r="L14" s="108">
        <v>5</v>
      </c>
      <c r="M14" s="108">
        <v>5</v>
      </c>
      <c r="N14" s="108">
        <v>5</v>
      </c>
      <c r="O14" s="108">
        <v>5</v>
      </c>
      <c r="P14" s="108">
        <v>5</v>
      </c>
      <c r="Q14" s="108">
        <v>5</v>
      </c>
      <c r="R14" s="108">
        <v>5</v>
      </c>
      <c r="S14" s="108">
        <v>5</v>
      </c>
      <c r="T14" s="108">
        <v>5</v>
      </c>
      <c r="U14" s="108">
        <v>5</v>
      </c>
      <c r="V14" s="108"/>
      <c r="W14" s="108"/>
      <c r="X14" s="108">
        <v>5</v>
      </c>
      <c r="Y14" s="108">
        <v>5</v>
      </c>
      <c r="Z14" s="108">
        <v>5</v>
      </c>
      <c r="AA14" s="108">
        <v>5</v>
      </c>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c r="CE14" s="108"/>
      <c r="CF14" s="108"/>
      <c r="CG14" s="108"/>
      <c r="CH14" s="108"/>
    </row>
    <row r="15" spans="1:86" ht="15" customHeight="1" x14ac:dyDescent="0.45">
      <c r="A15" s="102" t="s">
        <v>689</v>
      </c>
      <c r="B15" s="103" t="s">
        <v>159</v>
      </c>
      <c r="C15" s="45" t="s">
        <v>644</v>
      </c>
      <c r="D15" s="105" t="str">
        <f t="shared" si="2"/>
        <v>Technical Consultant - 1</v>
      </c>
      <c r="E15" s="205">
        <f t="shared" si="3"/>
        <v>2500</v>
      </c>
      <c r="F15" s="206">
        <f t="shared" si="5"/>
        <v>2500</v>
      </c>
      <c r="G15" s="206">
        <f t="shared" si="4"/>
        <v>1206.46822675</v>
      </c>
      <c r="H15" s="106">
        <f>F15*J15</f>
        <v>187500</v>
      </c>
      <c r="I15" s="106">
        <f>G15*J15</f>
        <v>90485.117006250002</v>
      </c>
      <c r="J15" s="107">
        <f>SUM(K15:CH15)</f>
        <v>75</v>
      </c>
      <c r="K15" s="108">
        <v>5</v>
      </c>
      <c r="L15" s="108">
        <v>5</v>
      </c>
      <c r="M15" s="108">
        <v>5</v>
      </c>
      <c r="N15" s="108">
        <v>5</v>
      </c>
      <c r="O15" s="108">
        <v>5</v>
      </c>
      <c r="P15" s="108">
        <v>5</v>
      </c>
      <c r="Q15" s="108">
        <v>5</v>
      </c>
      <c r="R15" s="108">
        <v>5</v>
      </c>
      <c r="S15" s="108">
        <v>5</v>
      </c>
      <c r="T15" s="108">
        <v>5</v>
      </c>
      <c r="U15" s="108">
        <v>5</v>
      </c>
      <c r="V15" s="108"/>
      <c r="W15" s="108"/>
      <c r="X15" s="108">
        <v>5</v>
      </c>
      <c r="Y15" s="108">
        <v>5</v>
      </c>
      <c r="Z15" s="108">
        <v>5</v>
      </c>
      <c r="AA15" s="108">
        <v>5</v>
      </c>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c r="CE15" s="108"/>
      <c r="CF15" s="108"/>
      <c r="CG15" s="108"/>
      <c r="CH15" s="108"/>
    </row>
    <row r="16" spans="1:86" ht="15" customHeight="1" x14ac:dyDescent="0.45">
      <c r="A16" s="109" t="s">
        <v>690</v>
      </c>
      <c r="B16" s="103" t="s">
        <v>159</v>
      </c>
      <c r="C16" s="45" t="s">
        <v>562</v>
      </c>
      <c r="D16" s="105" t="str">
        <f t="shared" si="2"/>
        <v>Sr Consultant - 2</v>
      </c>
      <c r="E16" s="205">
        <f t="shared" si="3"/>
        <v>3400</v>
      </c>
      <c r="F16" s="206">
        <f t="shared" si="5"/>
        <v>3400</v>
      </c>
      <c r="G16" s="206">
        <f t="shared" si="4"/>
        <v>1640.79678838</v>
      </c>
      <c r="H16" s="106">
        <f t="shared" ref="H16:H27" si="6">F16*J16</f>
        <v>255000</v>
      </c>
      <c r="I16" s="106">
        <f t="shared" ref="I16:I27" si="7">G16*J16</f>
        <v>123059.75912849999</v>
      </c>
      <c r="J16" s="107">
        <f t="shared" ref="J16:J27" si="8">SUM(K16:CH16)</f>
        <v>75</v>
      </c>
      <c r="K16" s="108">
        <v>5</v>
      </c>
      <c r="L16" s="108">
        <v>5</v>
      </c>
      <c r="M16" s="108">
        <v>5</v>
      </c>
      <c r="N16" s="108">
        <v>5</v>
      </c>
      <c r="O16" s="108">
        <v>5</v>
      </c>
      <c r="P16" s="108">
        <v>5</v>
      </c>
      <c r="Q16" s="108">
        <v>5</v>
      </c>
      <c r="R16" s="108">
        <v>5</v>
      </c>
      <c r="S16" s="108">
        <v>5</v>
      </c>
      <c r="T16" s="108">
        <v>5</v>
      </c>
      <c r="U16" s="108">
        <v>5</v>
      </c>
      <c r="V16" s="108"/>
      <c r="W16" s="108"/>
      <c r="X16" s="108">
        <v>5</v>
      </c>
      <c r="Y16" s="108">
        <v>5</v>
      </c>
      <c r="Z16" s="108">
        <v>5</v>
      </c>
      <c r="AA16" s="108">
        <v>5</v>
      </c>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c r="AX16" s="108"/>
      <c r="AY16" s="108"/>
      <c r="AZ16" s="108"/>
      <c r="BA16" s="108"/>
      <c r="BB16" s="108"/>
      <c r="BC16" s="108"/>
      <c r="BD16" s="108"/>
      <c r="BE16" s="108"/>
      <c r="BF16" s="108"/>
      <c r="BG16" s="108"/>
      <c r="BH16" s="108"/>
      <c r="BI16" s="108"/>
      <c r="BJ16" s="108"/>
      <c r="BK16" s="108"/>
      <c r="BL16" s="108"/>
      <c r="BM16" s="108"/>
      <c r="BN16" s="108"/>
      <c r="BO16" s="108"/>
      <c r="BP16" s="108"/>
      <c r="BQ16" s="108"/>
      <c r="BR16" s="108"/>
      <c r="BS16" s="108"/>
      <c r="BT16" s="108"/>
      <c r="BU16" s="108"/>
      <c r="BV16" s="108"/>
      <c r="BW16" s="108"/>
      <c r="BX16" s="108"/>
      <c r="BY16" s="108"/>
      <c r="BZ16" s="108"/>
      <c r="CA16" s="108"/>
      <c r="CB16" s="108"/>
      <c r="CC16" s="108"/>
      <c r="CD16" s="108"/>
      <c r="CE16" s="108"/>
      <c r="CF16" s="108"/>
      <c r="CG16" s="108"/>
      <c r="CH16" s="108"/>
    </row>
    <row r="17" spans="1:86" ht="15" customHeight="1" x14ac:dyDescent="0.45">
      <c r="A17" s="102" t="s">
        <v>691</v>
      </c>
      <c r="B17" s="103" t="s">
        <v>159</v>
      </c>
      <c r="C17" s="45" t="s">
        <v>576</v>
      </c>
      <c r="D17" s="105" t="str">
        <f t="shared" si="2"/>
        <v>Sr Manager - 2</v>
      </c>
      <c r="E17" s="205">
        <f t="shared" si="3"/>
        <v>4750</v>
      </c>
      <c r="F17" s="206">
        <f t="shared" si="5"/>
        <v>4750</v>
      </c>
      <c r="G17" s="206">
        <f t="shared" si="4"/>
        <v>2292.2896308250001</v>
      </c>
      <c r="H17" s="106">
        <f t="shared" si="6"/>
        <v>26125</v>
      </c>
      <c r="I17" s="106">
        <f t="shared" si="7"/>
        <v>12607.592969537502</v>
      </c>
      <c r="J17" s="107">
        <f t="shared" si="8"/>
        <v>5.5</v>
      </c>
      <c r="K17" s="108"/>
      <c r="L17" s="108"/>
      <c r="M17" s="108"/>
      <c r="N17" s="108"/>
      <c r="O17" s="108">
        <v>0.5</v>
      </c>
      <c r="P17" s="108">
        <v>0.5</v>
      </c>
      <c r="Q17" s="108">
        <v>0.5</v>
      </c>
      <c r="R17" s="108">
        <v>0.5</v>
      </c>
      <c r="S17" s="108">
        <v>0.5</v>
      </c>
      <c r="T17" s="108">
        <v>0.5</v>
      </c>
      <c r="U17" s="108">
        <v>0.5</v>
      </c>
      <c r="V17" s="108"/>
      <c r="W17" s="108"/>
      <c r="X17" s="108">
        <v>0.5</v>
      </c>
      <c r="Y17" s="108">
        <v>0.5</v>
      </c>
      <c r="Z17" s="108">
        <v>0.5</v>
      </c>
      <c r="AA17" s="108">
        <v>0.5</v>
      </c>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c r="BY17" s="108"/>
      <c r="BZ17" s="108"/>
      <c r="CA17" s="108"/>
      <c r="CB17" s="108"/>
      <c r="CC17" s="108"/>
      <c r="CD17" s="108"/>
      <c r="CE17" s="108"/>
      <c r="CF17" s="108"/>
      <c r="CG17" s="108"/>
      <c r="CH17" s="108"/>
    </row>
    <row r="18" spans="1:86" ht="15" customHeight="1" x14ac:dyDescent="0.45">
      <c r="A18" s="109" t="s">
        <v>692</v>
      </c>
      <c r="B18" s="103" t="s">
        <v>159</v>
      </c>
      <c r="C18" s="104" t="s">
        <v>335</v>
      </c>
      <c r="D18" s="105" t="str">
        <f t="shared" si="2"/>
        <v>Manager - 1</v>
      </c>
      <c r="E18" s="205">
        <f t="shared" si="3"/>
        <v>3750</v>
      </c>
      <c r="F18" s="206">
        <f t="shared" si="5"/>
        <v>3750</v>
      </c>
      <c r="G18" s="206">
        <f t="shared" si="4"/>
        <v>1809.7023401250001</v>
      </c>
      <c r="H18" s="106">
        <f t="shared" si="6"/>
        <v>75000</v>
      </c>
      <c r="I18" s="106">
        <f t="shared" si="7"/>
        <v>36194.046802500001</v>
      </c>
      <c r="J18" s="107">
        <f t="shared" si="8"/>
        <v>20</v>
      </c>
      <c r="K18" s="108"/>
      <c r="L18" s="108"/>
      <c r="M18" s="108"/>
      <c r="N18" s="108"/>
      <c r="O18" s="108"/>
      <c r="P18" s="108"/>
      <c r="Q18" s="108"/>
      <c r="R18" s="108"/>
      <c r="S18" s="108"/>
      <c r="T18" s="108"/>
      <c r="U18" s="108"/>
      <c r="V18" s="108"/>
      <c r="W18" s="108"/>
      <c r="X18" s="108">
        <v>5</v>
      </c>
      <c r="Y18" s="108">
        <v>5</v>
      </c>
      <c r="Z18" s="108">
        <v>5</v>
      </c>
      <c r="AA18" s="108">
        <v>5</v>
      </c>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c r="BY18" s="108"/>
      <c r="BZ18" s="108"/>
      <c r="CA18" s="108"/>
      <c r="CB18" s="108"/>
      <c r="CC18" s="108"/>
      <c r="CD18" s="108"/>
      <c r="CE18" s="108"/>
      <c r="CF18" s="108"/>
      <c r="CG18" s="108"/>
      <c r="CH18" s="108"/>
    </row>
    <row r="19" spans="1:86" ht="15" customHeight="1" x14ac:dyDescent="0.45">
      <c r="A19" s="109" t="s">
        <v>693</v>
      </c>
      <c r="B19" s="103" t="s">
        <v>159</v>
      </c>
      <c r="C19" s="104" t="s">
        <v>257</v>
      </c>
      <c r="D19" s="105" t="str">
        <f t="shared" si="2"/>
        <v>Partner - 2</v>
      </c>
      <c r="E19" s="205">
        <f t="shared" si="3"/>
        <v>5250</v>
      </c>
      <c r="F19" s="206">
        <f t="shared" si="5"/>
        <v>5250</v>
      </c>
      <c r="G19" s="206">
        <f t="shared" si="4"/>
        <v>2533.5832761749998</v>
      </c>
      <c r="H19" s="106">
        <f t="shared" si="6"/>
        <v>10500</v>
      </c>
      <c r="I19" s="106">
        <f t="shared" si="7"/>
        <v>5067.1665523499996</v>
      </c>
      <c r="J19" s="107">
        <f t="shared" si="8"/>
        <v>2</v>
      </c>
      <c r="K19" s="108"/>
      <c r="L19" s="108"/>
      <c r="M19" s="108"/>
      <c r="N19" s="108"/>
      <c r="O19" s="108"/>
      <c r="P19" s="108"/>
      <c r="Q19" s="108"/>
      <c r="R19" s="108"/>
      <c r="S19" s="108"/>
      <c r="T19" s="108"/>
      <c r="U19" s="108"/>
      <c r="V19" s="108"/>
      <c r="W19" s="108"/>
      <c r="X19" s="108"/>
      <c r="Y19" s="108"/>
      <c r="Z19" s="108"/>
      <c r="AA19" s="108">
        <v>2</v>
      </c>
      <c r="AB19" s="108"/>
      <c r="AC19" s="108"/>
      <c r="AD19" s="108"/>
      <c r="AE19" s="108"/>
      <c r="AF19" s="108"/>
      <c r="AG19" s="108"/>
      <c r="AH19" s="108"/>
      <c r="AI19" s="108"/>
      <c r="AJ19" s="108"/>
      <c r="AK19" s="108"/>
      <c r="AL19" s="108"/>
      <c r="AM19" s="108"/>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c r="BY19" s="108"/>
      <c r="BZ19" s="108"/>
      <c r="CA19" s="108"/>
      <c r="CB19" s="108"/>
      <c r="CC19" s="108"/>
      <c r="CD19" s="108"/>
      <c r="CE19" s="108"/>
      <c r="CF19" s="108"/>
      <c r="CG19" s="108"/>
      <c r="CH19" s="108"/>
    </row>
    <row r="20" spans="1:86" ht="15" customHeight="1" x14ac:dyDescent="0.45">
      <c r="A20" s="109" t="s">
        <v>694</v>
      </c>
      <c r="B20" s="103" t="s">
        <v>159</v>
      </c>
      <c r="C20" s="104" t="s">
        <v>663</v>
      </c>
      <c r="D20" s="105" t="str">
        <f t="shared" si="2"/>
        <v>Analyst - 1</v>
      </c>
      <c r="E20" s="205">
        <f t="shared" si="3"/>
        <v>1900</v>
      </c>
      <c r="F20" s="206">
        <f t="shared" si="5"/>
        <v>1900</v>
      </c>
      <c r="G20" s="206">
        <v>500</v>
      </c>
      <c r="H20" s="106">
        <f t="shared" si="6"/>
        <v>142500</v>
      </c>
      <c r="I20" s="106">
        <f t="shared" si="7"/>
        <v>37500</v>
      </c>
      <c r="J20" s="107">
        <f t="shared" si="8"/>
        <v>75</v>
      </c>
      <c r="K20" s="108">
        <v>5</v>
      </c>
      <c r="L20" s="108">
        <v>5</v>
      </c>
      <c r="M20" s="108">
        <v>5</v>
      </c>
      <c r="N20" s="108">
        <v>5</v>
      </c>
      <c r="O20" s="108">
        <v>5</v>
      </c>
      <c r="P20" s="108">
        <v>5</v>
      </c>
      <c r="Q20" s="108">
        <v>5</v>
      </c>
      <c r="R20" s="108">
        <v>5</v>
      </c>
      <c r="S20" s="108">
        <v>5</v>
      </c>
      <c r="T20" s="108">
        <v>5</v>
      </c>
      <c r="U20" s="108">
        <v>5</v>
      </c>
      <c r="V20" s="108"/>
      <c r="W20" s="108"/>
      <c r="X20" s="108">
        <v>5</v>
      </c>
      <c r="Y20" s="108">
        <v>5</v>
      </c>
      <c r="Z20" s="108">
        <v>5</v>
      </c>
      <c r="AA20" s="108">
        <v>5</v>
      </c>
      <c r="AB20" s="108"/>
      <c r="AC20" s="108"/>
      <c r="AD20" s="108"/>
      <c r="AE20" s="108"/>
      <c r="AF20" s="108"/>
      <c r="AG20" s="108"/>
      <c r="AH20" s="108"/>
      <c r="AI20" s="108"/>
      <c r="AJ20" s="108"/>
      <c r="AK20" s="108"/>
      <c r="AL20" s="108"/>
      <c r="AM20" s="108"/>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c r="CE20" s="108"/>
      <c r="CF20" s="108"/>
      <c r="CG20" s="108"/>
      <c r="CH20" s="108"/>
    </row>
    <row r="21" spans="1:86" ht="15" customHeight="1" x14ac:dyDescent="0.45">
      <c r="A21" s="109"/>
      <c r="B21" s="103"/>
      <c r="C21" s="104"/>
      <c r="D21" s="105" t="str">
        <f t="shared" si="2"/>
        <v/>
      </c>
      <c r="E21" s="205">
        <f t="shared" si="3"/>
        <v>0</v>
      </c>
      <c r="F21" s="206">
        <f t="shared" si="5"/>
        <v>0</v>
      </c>
      <c r="G21" s="206">
        <f t="shared" si="4"/>
        <v>0</v>
      </c>
      <c r="H21" s="106">
        <f t="shared" si="6"/>
        <v>0</v>
      </c>
      <c r="I21" s="106">
        <f t="shared" si="7"/>
        <v>0</v>
      </c>
      <c r="J21" s="107">
        <f t="shared" si="8"/>
        <v>0</v>
      </c>
      <c r="K21" s="108"/>
      <c r="L21" s="108"/>
      <c r="M21" s="108"/>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c r="BY21" s="108"/>
      <c r="BZ21" s="108"/>
      <c r="CA21" s="108"/>
      <c r="CB21" s="108"/>
      <c r="CC21" s="108"/>
      <c r="CD21" s="108"/>
      <c r="CE21" s="108"/>
      <c r="CF21" s="108"/>
      <c r="CG21" s="108"/>
      <c r="CH21" s="108"/>
    </row>
    <row r="22" spans="1:86" ht="15" customHeight="1" x14ac:dyDescent="0.45">
      <c r="A22" s="109"/>
      <c r="B22" s="103"/>
      <c r="C22" s="104"/>
      <c r="D22" s="105" t="str">
        <f t="shared" si="2"/>
        <v/>
      </c>
      <c r="E22" s="205">
        <f t="shared" si="3"/>
        <v>0</v>
      </c>
      <c r="F22" s="206">
        <f t="shared" si="5"/>
        <v>0</v>
      </c>
      <c r="G22" s="206">
        <f t="shared" si="4"/>
        <v>0</v>
      </c>
      <c r="H22" s="106">
        <f t="shared" si="6"/>
        <v>0</v>
      </c>
      <c r="I22" s="106">
        <f t="shared" si="7"/>
        <v>0</v>
      </c>
      <c r="J22" s="107">
        <f>SUM(K22:CH22)</f>
        <v>0</v>
      </c>
      <c r="K22" s="108"/>
      <c r="L22" s="108"/>
      <c r="M22" s="108"/>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c r="BY22" s="108"/>
      <c r="BZ22" s="108"/>
      <c r="CA22" s="108"/>
      <c r="CB22" s="108"/>
      <c r="CC22" s="108"/>
      <c r="CD22" s="108"/>
      <c r="CE22" s="108"/>
      <c r="CF22" s="108"/>
      <c r="CG22" s="108"/>
      <c r="CH22" s="108"/>
    </row>
    <row r="23" spans="1:86" ht="15" customHeight="1" x14ac:dyDescent="0.45">
      <c r="A23" s="109"/>
      <c r="B23" s="103"/>
      <c r="C23" s="104"/>
      <c r="D23" s="105" t="str">
        <f t="shared" si="2"/>
        <v/>
      </c>
      <c r="E23" s="205">
        <f t="shared" si="3"/>
        <v>0</v>
      </c>
      <c r="F23" s="206">
        <f t="shared" si="5"/>
        <v>0</v>
      </c>
      <c r="G23" s="206">
        <f t="shared" si="4"/>
        <v>0</v>
      </c>
      <c r="H23" s="106">
        <f t="shared" si="6"/>
        <v>0</v>
      </c>
      <c r="I23" s="106">
        <f t="shared" si="7"/>
        <v>0</v>
      </c>
      <c r="J23" s="107">
        <f t="shared" si="8"/>
        <v>0</v>
      </c>
      <c r="K23" s="108"/>
      <c r="L23" s="108"/>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c r="BY23" s="108"/>
      <c r="BZ23" s="108"/>
      <c r="CA23" s="108"/>
      <c r="CB23" s="108"/>
      <c r="CC23" s="108"/>
      <c r="CD23" s="108"/>
      <c r="CE23" s="108"/>
      <c r="CF23" s="108"/>
      <c r="CG23" s="108"/>
      <c r="CH23" s="108"/>
    </row>
    <row r="24" spans="1:86" ht="15" customHeight="1" x14ac:dyDescent="0.45">
      <c r="A24" s="109"/>
      <c r="B24" s="103"/>
      <c r="C24" s="104"/>
      <c r="D24" s="105" t="str">
        <f t="shared" si="2"/>
        <v/>
      </c>
      <c r="E24" s="205">
        <f t="shared" si="3"/>
        <v>0</v>
      </c>
      <c r="F24" s="206">
        <f t="shared" si="5"/>
        <v>0</v>
      </c>
      <c r="G24" s="206">
        <f t="shared" si="4"/>
        <v>0</v>
      </c>
      <c r="H24" s="106">
        <f t="shared" si="6"/>
        <v>0</v>
      </c>
      <c r="I24" s="106">
        <f t="shared" si="7"/>
        <v>0</v>
      </c>
      <c r="J24" s="107">
        <f t="shared" si="8"/>
        <v>0</v>
      </c>
      <c r="K24" s="108"/>
      <c r="L24" s="108"/>
      <c r="M24" s="108"/>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c r="AX24" s="108"/>
      <c r="AY24" s="108"/>
      <c r="AZ24" s="108"/>
      <c r="BA24" s="108"/>
      <c r="BB24" s="108"/>
      <c r="BC24" s="108"/>
      <c r="BD24" s="108"/>
      <c r="BE24" s="108"/>
      <c r="BF24" s="108"/>
      <c r="BG24" s="108"/>
      <c r="BH24" s="108"/>
      <c r="BI24" s="108"/>
      <c r="BJ24" s="108"/>
      <c r="BK24" s="108"/>
      <c r="BL24" s="108"/>
      <c r="BM24" s="108"/>
      <c r="BN24" s="108"/>
      <c r="BO24" s="108"/>
      <c r="BP24" s="108"/>
      <c r="BQ24" s="108"/>
      <c r="BR24" s="108"/>
      <c r="BS24" s="108"/>
      <c r="BT24" s="108"/>
      <c r="BU24" s="108"/>
      <c r="BV24" s="108"/>
      <c r="BW24" s="108"/>
      <c r="BX24" s="108"/>
      <c r="BY24" s="108"/>
      <c r="BZ24" s="108"/>
      <c r="CA24" s="108"/>
      <c r="CB24" s="108"/>
      <c r="CC24" s="108"/>
      <c r="CD24" s="108"/>
      <c r="CE24" s="108"/>
      <c r="CF24" s="108"/>
      <c r="CG24" s="108"/>
      <c r="CH24" s="108"/>
    </row>
    <row r="25" spans="1:86" ht="15" customHeight="1" x14ac:dyDescent="0.45">
      <c r="A25" s="109"/>
      <c r="B25" s="103"/>
      <c r="C25" s="104"/>
      <c r="D25" s="105" t="str">
        <f t="shared" si="2"/>
        <v/>
      </c>
      <c r="E25" s="205">
        <f t="shared" si="3"/>
        <v>0</v>
      </c>
      <c r="F25" s="206">
        <f t="shared" si="5"/>
        <v>0</v>
      </c>
      <c r="G25" s="206">
        <f t="shared" si="4"/>
        <v>0</v>
      </c>
      <c r="H25" s="106">
        <f t="shared" si="6"/>
        <v>0</v>
      </c>
      <c r="I25" s="106">
        <f t="shared" si="7"/>
        <v>0</v>
      </c>
      <c r="J25" s="107">
        <f t="shared" si="8"/>
        <v>0</v>
      </c>
      <c r="K25" s="108"/>
      <c r="L25" s="108"/>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row>
    <row r="26" spans="1:86" ht="15" customHeight="1" x14ac:dyDescent="0.45">
      <c r="A26" s="109"/>
      <c r="B26" s="103"/>
      <c r="C26" s="104"/>
      <c r="D26" s="105" t="str">
        <f t="shared" si="2"/>
        <v/>
      </c>
      <c r="E26" s="205">
        <f t="shared" si="3"/>
        <v>0</v>
      </c>
      <c r="F26" s="206">
        <f t="shared" si="5"/>
        <v>0</v>
      </c>
      <c r="G26" s="206">
        <f t="shared" si="4"/>
        <v>0</v>
      </c>
      <c r="H26" s="106">
        <f t="shared" si="6"/>
        <v>0</v>
      </c>
      <c r="I26" s="106">
        <f t="shared" si="7"/>
        <v>0</v>
      </c>
      <c r="J26" s="107">
        <f t="shared" si="8"/>
        <v>0</v>
      </c>
      <c r="K26" s="200"/>
      <c r="L26" s="201"/>
      <c r="M26" s="201"/>
      <c r="N26" s="201"/>
      <c r="O26" s="201"/>
      <c r="P26" s="201"/>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201"/>
      <c r="BU26" s="201"/>
      <c r="BV26" s="201"/>
      <c r="BW26" s="201"/>
      <c r="BX26" s="201"/>
      <c r="BY26" s="201"/>
      <c r="BZ26" s="108"/>
      <c r="CA26" s="108"/>
      <c r="CB26" s="108"/>
      <c r="CC26" s="108"/>
      <c r="CD26" s="108"/>
      <c r="CE26" s="108"/>
      <c r="CF26" s="108"/>
      <c r="CG26" s="108"/>
      <c r="CH26" s="108"/>
    </row>
    <row r="27" spans="1:86" ht="15" customHeight="1" x14ac:dyDescent="0.45">
      <c r="A27" s="109"/>
      <c r="B27" s="103"/>
      <c r="C27" s="104"/>
      <c r="D27" s="105" t="str">
        <f t="shared" si="2"/>
        <v/>
      </c>
      <c r="E27" s="205">
        <f t="shared" si="3"/>
        <v>0</v>
      </c>
      <c r="F27" s="206">
        <f t="shared" si="5"/>
        <v>0</v>
      </c>
      <c r="G27" s="206">
        <f t="shared" si="4"/>
        <v>0</v>
      </c>
      <c r="H27" s="106">
        <f t="shared" si="6"/>
        <v>0</v>
      </c>
      <c r="I27" s="106">
        <f t="shared" si="7"/>
        <v>0</v>
      </c>
      <c r="J27" s="107">
        <f t="shared" si="8"/>
        <v>0</v>
      </c>
      <c r="K27" s="201"/>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201"/>
      <c r="BU27" s="201"/>
      <c r="BV27" s="201"/>
      <c r="BW27" s="201"/>
      <c r="BX27" s="201"/>
      <c r="BY27" s="201"/>
      <c r="BZ27" s="108"/>
      <c r="CA27" s="108"/>
      <c r="CB27" s="108"/>
      <c r="CC27" s="108"/>
      <c r="CD27" s="108"/>
      <c r="CE27" s="108"/>
      <c r="CF27" s="108"/>
      <c r="CG27" s="108"/>
      <c r="CH27" s="108"/>
    </row>
    <row r="28" spans="1:86" ht="15" customHeight="1" x14ac:dyDescent="0.45">
      <c r="A28" s="110"/>
      <c r="B28" s="103"/>
      <c r="C28" s="45"/>
      <c r="D28" s="105" t="str">
        <f t="shared" si="2"/>
        <v/>
      </c>
      <c r="E28" s="205">
        <f t="shared" si="3"/>
        <v>0</v>
      </c>
      <c r="F28" s="206">
        <f t="shared" si="5"/>
        <v>0</v>
      </c>
      <c r="G28" s="206">
        <f t="shared" si="4"/>
        <v>0</v>
      </c>
      <c r="H28" s="106">
        <f t="shared" ref="H28:H34" si="9">F28*J28</f>
        <v>0</v>
      </c>
      <c r="I28" s="106">
        <f t="shared" ref="I28:I34" si="10">G28*J28</f>
        <v>0</v>
      </c>
      <c r="J28" s="107">
        <f t="shared" ref="J28:J34" si="11">SUM(K28:CH28)</f>
        <v>0</v>
      </c>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108"/>
      <c r="AO28" s="108"/>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c r="BY28" s="108"/>
      <c r="BZ28" s="108"/>
      <c r="CA28" s="108"/>
      <c r="CB28" s="108"/>
      <c r="CC28" s="108"/>
      <c r="CD28" s="108"/>
      <c r="CE28" s="108"/>
      <c r="CF28" s="108"/>
      <c r="CG28" s="108"/>
      <c r="CH28" s="108"/>
    </row>
    <row r="29" spans="1:86" ht="15" customHeight="1" x14ac:dyDescent="0.45">
      <c r="A29" s="110"/>
      <c r="B29" s="103"/>
      <c r="C29" s="45"/>
      <c r="D29" s="105" t="str">
        <f>IF(ISERROR(VLOOKUP(C29,Level,2,0)),"",VLOOKUP(C29,Level,2,0))</f>
        <v/>
      </c>
      <c r="E29" s="205">
        <f>IF(ISERROR(VLOOKUP(D29, LevelRates,2,FALSE)),0,VLOOKUP(D29, LevelRates,2,FALSE))</f>
        <v>0</v>
      </c>
      <c r="F29" s="206">
        <f>E29*O$2</f>
        <v>0</v>
      </c>
      <c r="G29" s="206">
        <f>RlznRate*F29</f>
        <v>0</v>
      </c>
      <c r="H29" s="112">
        <f t="shared" si="9"/>
        <v>0</v>
      </c>
      <c r="I29" s="112">
        <f t="shared" si="10"/>
        <v>0</v>
      </c>
      <c r="J29" s="113">
        <f t="shared" si="11"/>
        <v>0</v>
      </c>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108"/>
      <c r="AO29" s="108"/>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8"/>
      <c r="BO29" s="108"/>
      <c r="BP29" s="108"/>
      <c r="BQ29" s="108"/>
      <c r="BR29" s="108"/>
      <c r="BS29" s="108"/>
      <c r="BT29" s="108"/>
      <c r="BU29" s="108"/>
      <c r="BV29" s="108"/>
      <c r="BW29" s="108"/>
      <c r="BX29" s="108"/>
      <c r="BY29" s="108"/>
      <c r="BZ29" s="108"/>
      <c r="CA29" s="108"/>
      <c r="CB29" s="108"/>
      <c r="CC29" s="108"/>
      <c r="CD29" s="108"/>
      <c r="CE29" s="108"/>
      <c r="CF29" s="108"/>
      <c r="CG29" s="108"/>
      <c r="CH29" s="108"/>
    </row>
    <row r="30" spans="1:86" ht="16.5" customHeight="1" x14ac:dyDescent="0.45">
      <c r="A30" s="110"/>
      <c r="B30" s="103"/>
      <c r="C30" s="45"/>
      <c r="D30" s="105" t="str">
        <f t="shared" si="2"/>
        <v/>
      </c>
      <c r="E30" s="205">
        <f t="shared" si="3"/>
        <v>0</v>
      </c>
      <c r="F30" s="206">
        <f t="shared" si="5"/>
        <v>0</v>
      </c>
      <c r="G30" s="206">
        <f t="shared" si="4"/>
        <v>0</v>
      </c>
      <c r="H30" s="112">
        <f t="shared" si="9"/>
        <v>0</v>
      </c>
      <c r="I30" s="112">
        <f t="shared" si="10"/>
        <v>0</v>
      </c>
      <c r="J30" s="113">
        <f t="shared" si="11"/>
        <v>0</v>
      </c>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108"/>
      <c r="AO30" s="108"/>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8"/>
      <c r="BO30" s="108"/>
      <c r="BP30" s="108"/>
      <c r="BQ30" s="108"/>
      <c r="BR30" s="108"/>
      <c r="BS30" s="108"/>
      <c r="BT30" s="108"/>
      <c r="BU30" s="108"/>
      <c r="BV30" s="108"/>
      <c r="BW30" s="108"/>
      <c r="BX30" s="108"/>
      <c r="BY30" s="108"/>
      <c r="BZ30" s="108"/>
      <c r="CA30" s="108"/>
      <c r="CB30" s="108"/>
      <c r="CC30" s="108"/>
      <c r="CD30" s="108"/>
      <c r="CE30" s="108"/>
      <c r="CF30" s="108"/>
      <c r="CG30" s="108"/>
      <c r="CH30" s="108"/>
    </row>
    <row r="31" spans="1:86" ht="16.5" customHeight="1" x14ac:dyDescent="0.45">
      <c r="A31" s="110" t="s">
        <v>353</v>
      </c>
      <c r="B31" s="103"/>
      <c r="C31" s="111"/>
      <c r="D31" s="105" t="str">
        <f t="shared" ref="D31" si="12">IF(ISERROR(VLOOKUP(C31,Level,2,0)),"",VLOOKUP(C31,Level,2,0))</f>
        <v/>
      </c>
      <c r="E31" s="205">
        <f t="shared" ref="E31" si="13">IF(ISERROR(VLOOKUP(D31, LevelRates,2,FALSE)),0,VLOOKUP(D31, LevelRates,2,FALSE))</f>
        <v>0</v>
      </c>
      <c r="F31" s="206">
        <f t="shared" ref="F31" si="14">E31*O$2</f>
        <v>0</v>
      </c>
      <c r="G31" s="206">
        <f t="shared" ref="G31" si="15">RlznRate*F31</f>
        <v>0</v>
      </c>
      <c r="H31" s="112">
        <f t="shared" si="9"/>
        <v>0</v>
      </c>
      <c r="I31" s="112">
        <f t="shared" si="10"/>
        <v>0</v>
      </c>
      <c r="J31" s="113">
        <f t="shared" si="11"/>
        <v>0</v>
      </c>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202"/>
      <c r="AP31" s="203"/>
      <c r="AQ31" s="203"/>
      <c r="AR31" s="203"/>
      <c r="AS31" s="203"/>
      <c r="AT31" s="203"/>
      <c r="AU31" s="203"/>
      <c r="AV31" s="203"/>
      <c r="AW31" s="203"/>
      <c r="AX31" s="203"/>
      <c r="AY31" s="203"/>
      <c r="AZ31" s="203"/>
      <c r="BA31" s="203"/>
      <c r="BB31" s="203"/>
      <c r="BC31" s="203"/>
      <c r="BD31" s="203"/>
      <c r="BE31" s="108"/>
      <c r="BF31" s="108"/>
      <c r="BG31" s="108"/>
      <c r="BH31" s="108"/>
      <c r="BI31" s="108"/>
      <c r="BJ31" s="108"/>
      <c r="BK31" s="108"/>
      <c r="BL31" s="108"/>
      <c r="BM31" s="108"/>
      <c r="BN31" s="108"/>
      <c r="BO31" s="108"/>
      <c r="BP31" s="108"/>
      <c r="BQ31" s="108"/>
      <c r="BR31" s="108"/>
      <c r="BS31" s="108"/>
      <c r="BT31" s="108"/>
      <c r="BU31" s="108"/>
      <c r="BV31" s="108"/>
      <c r="BW31" s="108"/>
      <c r="BX31" s="108"/>
      <c r="BY31" s="108"/>
      <c r="BZ31" s="108"/>
      <c r="CA31" s="108"/>
      <c r="CB31" s="108"/>
      <c r="CC31" s="108"/>
      <c r="CD31" s="108"/>
      <c r="CE31" s="108"/>
      <c r="CF31" s="108"/>
      <c r="CG31" s="108"/>
      <c r="CH31" s="108"/>
    </row>
    <row r="32" spans="1:86" ht="16.5" customHeight="1" x14ac:dyDescent="0.45">
      <c r="A32" s="110" t="s">
        <v>353</v>
      </c>
      <c r="B32" s="103"/>
      <c r="C32" s="111"/>
      <c r="D32" s="105" t="str">
        <f t="shared" ref="D32" si="16">IF(ISERROR(VLOOKUP(C32,Level,2,0)),"",VLOOKUP(C32,Level,2,0))</f>
        <v/>
      </c>
      <c r="E32" s="205">
        <f t="shared" ref="E32" si="17">IF(ISERROR(VLOOKUP(D32, LevelRates,2,FALSE)),0,VLOOKUP(D32, LevelRates,2,FALSE))</f>
        <v>0</v>
      </c>
      <c r="F32" s="206">
        <f t="shared" ref="F32" si="18">E32*O$2</f>
        <v>0</v>
      </c>
      <c r="G32" s="206">
        <f t="shared" ref="G32" si="19">RlznRate*F32</f>
        <v>0</v>
      </c>
      <c r="H32" s="112">
        <f t="shared" si="9"/>
        <v>0</v>
      </c>
      <c r="I32" s="112">
        <f t="shared" si="10"/>
        <v>0</v>
      </c>
      <c r="J32" s="113">
        <f t="shared" si="11"/>
        <v>0</v>
      </c>
      <c r="K32" s="108"/>
      <c r="L32" s="108"/>
      <c r="M32" s="108"/>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c r="AN32" s="108"/>
      <c r="AO32" s="108"/>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8"/>
      <c r="BO32" s="108"/>
      <c r="BP32" s="108"/>
      <c r="BQ32" s="108"/>
      <c r="BR32" s="108"/>
      <c r="BS32" s="108"/>
      <c r="BT32" s="108"/>
      <c r="BU32" s="108"/>
      <c r="BV32" s="108"/>
      <c r="BW32" s="108"/>
      <c r="BX32" s="108"/>
      <c r="BY32" s="108"/>
      <c r="BZ32" s="108"/>
      <c r="CA32" s="108"/>
      <c r="CB32" s="108"/>
      <c r="CC32" s="108"/>
      <c r="CD32" s="108"/>
      <c r="CE32" s="108"/>
      <c r="CF32" s="108"/>
      <c r="CG32" s="108"/>
      <c r="CH32" s="108"/>
    </row>
    <row r="33" spans="1:86" ht="16.5" customHeight="1" x14ac:dyDescent="0.45">
      <c r="A33" s="110" t="s">
        <v>353</v>
      </c>
      <c r="B33" s="103"/>
      <c r="C33" s="111"/>
      <c r="D33" s="105" t="str">
        <f t="shared" ref="D33" si="20">IF(ISERROR(VLOOKUP(C33,Level,2,0)),"",VLOOKUP(C33,Level,2,0))</f>
        <v/>
      </c>
      <c r="E33" s="205">
        <f t="shared" ref="E33" si="21">IF(ISERROR(VLOOKUP(D33, LevelRates,2,FALSE)),0,VLOOKUP(D33, LevelRates,2,FALSE))</f>
        <v>0</v>
      </c>
      <c r="F33" s="206">
        <f t="shared" ref="F33" si="22">E33*O$2</f>
        <v>0</v>
      </c>
      <c r="G33" s="206">
        <f t="shared" ref="G33" si="23">RlznRate*F33</f>
        <v>0</v>
      </c>
      <c r="H33" s="112">
        <f t="shared" ref="H33" si="24">F33*J33</f>
        <v>0</v>
      </c>
      <c r="I33" s="112">
        <f t="shared" ref="I33" si="25">G33*J33</f>
        <v>0</v>
      </c>
      <c r="J33" s="113">
        <f t="shared" ref="J33" si="26">SUM(K33:CH33)</f>
        <v>0</v>
      </c>
      <c r="K33" s="108"/>
      <c r="L33" s="108"/>
      <c r="M33" s="108"/>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c r="AN33" s="108"/>
      <c r="AO33" s="108"/>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8"/>
      <c r="BO33" s="108"/>
      <c r="BP33" s="108"/>
      <c r="BQ33" s="108"/>
      <c r="BR33" s="108"/>
      <c r="BS33" s="108"/>
      <c r="BT33" s="108"/>
      <c r="BU33" s="108"/>
      <c r="BV33" s="108"/>
      <c r="BW33" s="108"/>
      <c r="BX33" s="108"/>
      <c r="BY33" s="108"/>
      <c r="BZ33" s="108"/>
      <c r="CA33" s="108"/>
      <c r="CB33" s="108"/>
      <c r="CC33" s="108"/>
      <c r="CD33" s="108"/>
      <c r="CE33" s="108"/>
      <c r="CF33" s="108"/>
      <c r="CG33" s="108"/>
      <c r="CH33" s="108"/>
    </row>
    <row r="34" spans="1:86" ht="14.25" hidden="1" customHeight="1" x14ac:dyDescent="0.45">
      <c r="A34" s="110" t="s">
        <v>353</v>
      </c>
      <c r="B34" s="103"/>
      <c r="C34" s="111"/>
      <c r="D34" s="105" t="str">
        <f>IF(ISERROR(VLOOKUP(C34,Level,2,0)),"",VLOOKUP(C34,Level,2,0))</f>
        <v/>
      </c>
      <c r="E34" s="114">
        <f>IF(ISERROR(VLOOKUP(D34, LevelRates,2,FALSE)),0,VLOOKUP(D34, LevelRates,2,FALSE))</f>
        <v>0</v>
      </c>
      <c r="F34" s="115">
        <f>E34*O$2</f>
        <v>0</v>
      </c>
      <c r="G34" s="206">
        <f>RlznRate*F34</f>
        <v>0</v>
      </c>
      <c r="H34" s="112">
        <f t="shared" si="9"/>
        <v>0</v>
      </c>
      <c r="I34" s="112">
        <f t="shared" si="10"/>
        <v>0</v>
      </c>
      <c r="J34" s="113">
        <f t="shared" si="11"/>
        <v>0</v>
      </c>
      <c r="K34" s="108"/>
      <c r="L34" s="108"/>
      <c r="M34" s="108"/>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c r="AN34" s="108"/>
      <c r="AO34" s="108"/>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8"/>
      <c r="BO34" s="108"/>
      <c r="BP34" s="108"/>
      <c r="BQ34" s="108"/>
      <c r="BR34" s="108"/>
      <c r="BS34" s="108"/>
      <c r="BT34" s="108"/>
      <c r="BU34" s="108"/>
      <c r="BV34" s="108"/>
      <c r="BW34" s="108"/>
      <c r="BX34" s="108"/>
      <c r="BY34" s="108"/>
      <c r="BZ34" s="108"/>
      <c r="CA34" s="108"/>
      <c r="CB34" s="108"/>
      <c r="CC34" s="108"/>
      <c r="CD34" s="108"/>
      <c r="CE34" s="108"/>
      <c r="CF34" s="108"/>
      <c r="CG34" s="108"/>
      <c r="CH34" s="108"/>
    </row>
    <row r="35" spans="1:86" s="76" customFormat="1" ht="16.5" customHeight="1" thickBot="1" x14ac:dyDescent="0.5">
      <c r="A35" s="116"/>
      <c r="B35" s="117"/>
      <c r="C35" s="117"/>
      <c r="D35" s="117"/>
      <c r="E35" s="118"/>
      <c r="F35" s="119"/>
      <c r="G35" s="207" t="s">
        <v>182</v>
      </c>
      <c r="H35" s="106">
        <f>SUM(H11:H34)</f>
        <v>1650375</v>
      </c>
      <c r="I35" s="106">
        <f>SUM(I11:I34)</f>
        <v>765181.31096426246</v>
      </c>
      <c r="J35" s="107">
        <f>SUM(J11:J34)</f>
        <v>454.5</v>
      </c>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20"/>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20"/>
    </row>
    <row r="36" spans="1:86" s="76" customFormat="1" ht="13.7" thickTop="1" thickBot="1" x14ac:dyDescent="0.5">
      <c r="A36" s="116"/>
      <c r="B36" s="117"/>
      <c r="C36" s="117"/>
      <c r="D36" s="117"/>
      <c r="E36" s="121"/>
      <c r="F36" s="119"/>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20"/>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c r="CH36" s="120"/>
    </row>
    <row r="37" spans="1:86" s="101" customFormat="1" ht="15" customHeight="1" x14ac:dyDescent="0.45">
      <c r="A37" s="279" t="s">
        <v>356</v>
      </c>
      <c r="B37" s="261" t="s">
        <v>542</v>
      </c>
      <c r="C37" s="261" t="s">
        <v>476</v>
      </c>
      <c r="D37" s="261" t="s">
        <v>0</v>
      </c>
      <c r="E37" s="283"/>
      <c r="F37" s="261" t="s">
        <v>268</v>
      </c>
      <c r="G37" s="283"/>
      <c r="H37" s="261" t="s">
        <v>28</v>
      </c>
      <c r="I37" s="261" t="s">
        <v>267</v>
      </c>
      <c r="J37" s="261" t="s">
        <v>271</v>
      </c>
      <c r="K37" s="263" t="s">
        <v>2</v>
      </c>
      <c r="L37" s="263" t="s">
        <v>3</v>
      </c>
      <c r="M37" s="263" t="s">
        <v>4</v>
      </c>
      <c r="N37" s="263" t="s">
        <v>5</v>
      </c>
      <c r="O37" s="263" t="s">
        <v>6</v>
      </c>
      <c r="P37" s="263" t="s">
        <v>7</v>
      </c>
      <c r="Q37" s="263" t="s">
        <v>8</v>
      </c>
      <c r="R37" s="263" t="s">
        <v>9</v>
      </c>
      <c r="S37" s="263" t="s">
        <v>10</v>
      </c>
      <c r="T37" s="263" t="s">
        <v>11</v>
      </c>
      <c r="U37" s="263" t="s">
        <v>12</v>
      </c>
      <c r="V37" s="263" t="s">
        <v>13</v>
      </c>
      <c r="W37" s="263" t="s">
        <v>14</v>
      </c>
      <c r="X37" s="263" t="s">
        <v>15</v>
      </c>
      <c r="Y37" s="263" t="s">
        <v>16</v>
      </c>
      <c r="Z37" s="263" t="s">
        <v>17</v>
      </c>
      <c r="AA37" s="263" t="s">
        <v>18</v>
      </c>
      <c r="AB37" s="263" t="s">
        <v>19</v>
      </c>
      <c r="AC37" s="263" t="s">
        <v>20</v>
      </c>
      <c r="AD37" s="263" t="s">
        <v>21</v>
      </c>
      <c r="AE37" s="263" t="s">
        <v>22</v>
      </c>
      <c r="AF37" s="263" t="s">
        <v>23</v>
      </c>
      <c r="AG37" s="263" t="s">
        <v>24</v>
      </c>
      <c r="AH37" s="263" t="s">
        <v>25</v>
      </c>
      <c r="AI37" s="263" t="s">
        <v>61</v>
      </c>
      <c r="AJ37" s="263" t="s">
        <v>62</v>
      </c>
      <c r="AK37" s="263" t="s">
        <v>63</v>
      </c>
      <c r="AL37" s="263" t="s">
        <v>64</v>
      </c>
      <c r="AM37" s="263" t="s">
        <v>65</v>
      </c>
      <c r="AN37" s="263" t="s">
        <v>66</v>
      </c>
      <c r="AO37" s="263" t="s">
        <v>67</v>
      </c>
      <c r="AP37" s="263" t="s">
        <v>68</v>
      </c>
      <c r="AQ37" s="263" t="s">
        <v>69</v>
      </c>
      <c r="AR37" s="263" t="s">
        <v>70</v>
      </c>
      <c r="AS37" s="263" t="s">
        <v>71</v>
      </c>
      <c r="AT37" s="263" t="s">
        <v>72</v>
      </c>
      <c r="AU37" s="263" t="s">
        <v>73</v>
      </c>
      <c r="AV37" s="263" t="s">
        <v>74</v>
      </c>
      <c r="AW37" s="263" t="s">
        <v>75</v>
      </c>
      <c r="AX37" s="263" t="s">
        <v>76</v>
      </c>
      <c r="AY37" s="263" t="s">
        <v>77</v>
      </c>
      <c r="AZ37" s="263" t="s">
        <v>78</v>
      </c>
      <c r="BA37" s="263" t="s">
        <v>79</v>
      </c>
      <c r="BB37" s="263" t="s">
        <v>80</v>
      </c>
      <c r="BC37" s="263" t="s">
        <v>81</v>
      </c>
      <c r="BD37" s="263" t="s">
        <v>82</v>
      </c>
      <c r="BE37" s="263" t="s">
        <v>83</v>
      </c>
      <c r="BF37" s="263" t="s">
        <v>84</v>
      </c>
      <c r="BG37" s="263" t="s">
        <v>85</v>
      </c>
      <c r="BH37" s="263" t="s">
        <v>86</v>
      </c>
      <c r="BI37" s="263" t="s">
        <v>87</v>
      </c>
      <c r="BJ37" s="264" t="s">
        <v>88</v>
      </c>
      <c r="BK37" s="291" t="s">
        <v>195</v>
      </c>
      <c r="BL37" s="263" t="s">
        <v>196</v>
      </c>
      <c r="BM37" s="263" t="s">
        <v>197</v>
      </c>
      <c r="BN37" s="263" t="s">
        <v>198</v>
      </c>
      <c r="BO37" s="263" t="s">
        <v>199</v>
      </c>
      <c r="BP37" s="263" t="s">
        <v>200</v>
      </c>
      <c r="BQ37" s="263" t="s">
        <v>201</v>
      </c>
      <c r="BR37" s="263" t="s">
        <v>202</v>
      </c>
      <c r="BS37" s="263" t="s">
        <v>203</v>
      </c>
      <c r="BT37" s="263" t="s">
        <v>204</v>
      </c>
      <c r="BU37" s="263" t="s">
        <v>205</v>
      </c>
      <c r="BV37" s="263" t="s">
        <v>206</v>
      </c>
      <c r="BW37" s="263" t="s">
        <v>207</v>
      </c>
      <c r="BX37" s="263" t="s">
        <v>208</v>
      </c>
      <c r="BY37" s="263" t="s">
        <v>209</v>
      </c>
      <c r="BZ37" s="263" t="s">
        <v>210</v>
      </c>
      <c r="CA37" s="263" t="s">
        <v>211</v>
      </c>
      <c r="CB37" s="263" t="s">
        <v>212</v>
      </c>
      <c r="CC37" s="263" t="s">
        <v>213</v>
      </c>
      <c r="CD37" s="263" t="s">
        <v>214</v>
      </c>
      <c r="CE37" s="263" t="s">
        <v>215</v>
      </c>
      <c r="CF37" s="263" t="s">
        <v>216</v>
      </c>
      <c r="CG37" s="263" t="s">
        <v>217</v>
      </c>
      <c r="CH37" s="264" t="s">
        <v>218</v>
      </c>
    </row>
    <row r="38" spans="1:86" s="101" customFormat="1" ht="28.95" customHeight="1" thickBot="1" x14ac:dyDescent="0.5">
      <c r="A38" s="280"/>
      <c r="B38" s="262"/>
      <c r="C38" s="262"/>
      <c r="D38" s="262"/>
      <c r="E38" s="284"/>
      <c r="F38" s="262"/>
      <c r="G38" s="284"/>
      <c r="H38" s="262"/>
      <c r="I38" s="262"/>
      <c r="J38" s="262"/>
      <c r="K38" s="262"/>
      <c r="L38" s="262"/>
      <c r="M38" s="262"/>
      <c r="N38" s="262"/>
      <c r="O38" s="262"/>
      <c r="P38" s="262"/>
      <c r="Q38" s="262"/>
      <c r="R38" s="262"/>
      <c r="S38" s="262"/>
      <c r="T38" s="262"/>
      <c r="U38" s="262"/>
      <c r="V38" s="262"/>
      <c r="W38" s="262"/>
      <c r="X38" s="262"/>
      <c r="Y38" s="262"/>
      <c r="Z38" s="262"/>
      <c r="AA38" s="262"/>
      <c r="AB38" s="262"/>
      <c r="AC38" s="262"/>
      <c r="AD38" s="262"/>
      <c r="AE38" s="262"/>
      <c r="AF38" s="262"/>
      <c r="AG38" s="262"/>
      <c r="AH38" s="262"/>
      <c r="AI38" s="262"/>
      <c r="AJ38" s="262"/>
      <c r="AK38" s="262"/>
      <c r="AL38" s="262"/>
      <c r="AM38" s="262"/>
      <c r="AN38" s="262"/>
      <c r="AO38" s="262"/>
      <c r="AP38" s="262"/>
      <c r="AQ38" s="262"/>
      <c r="AR38" s="262"/>
      <c r="AS38" s="262"/>
      <c r="AT38" s="262"/>
      <c r="AU38" s="262"/>
      <c r="AV38" s="262"/>
      <c r="AW38" s="262"/>
      <c r="AX38" s="262"/>
      <c r="AY38" s="262"/>
      <c r="AZ38" s="262"/>
      <c r="BA38" s="262"/>
      <c r="BB38" s="262"/>
      <c r="BC38" s="262"/>
      <c r="BD38" s="262"/>
      <c r="BE38" s="262"/>
      <c r="BF38" s="262"/>
      <c r="BG38" s="262"/>
      <c r="BH38" s="262"/>
      <c r="BI38" s="262"/>
      <c r="BJ38" s="265"/>
      <c r="BK38" s="280"/>
      <c r="BL38" s="262"/>
      <c r="BM38" s="262"/>
      <c r="BN38" s="262"/>
      <c r="BO38" s="262"/>
      <c r="BP38" s="262"/>
      <c r="BQ38" s="262"/>
      <c r="BR38" s="262"/>
      <c r="BS38" s="262"/>
      <c r="BT38" s="262"/>
      <c r="BU38" s="262"/>
      <c r="BV38" s="262"/>
      <c r="BW38" s="262"/>
      <c r="BX38" s="262"/>
      <c r="BY38" s="262"/>
      <c r="BZ38" s="262"/>
      <c r="CA38" s="262"/>
      <c r="CB38" s="262"/>
      <c r="CC38" s="262"/>
      <c r="CD38" s="262"/>
      <c r="CE38" s="262"/>
      <c r="CF38" s="262"/>
      <c r="CG38" s="262"/>
      <c r="CH38" s="265"/>
    </row>
    <row r="39" spans="1:86" ht="15" customHeight="1" x14ac:dyDescent="0.45">
      <c r="A39" s="122" t="s">
        <v>219</v>
      </c>
      <c r="B39" s="103" t="s">
        <v>159</v>
      </c>
      <c r="C39" s="204" t="s">
        <v>219</v>
      </c>
      <c r="D39" s="124" t="str">
        <f t="shared" ref="D39:D48" si="27">IF(ISERROR(VLOOKUP(C39,LevelNearShore,2,0)),"",VLOOKUP(C39,LevelNearShore,2,0))</f>
        <v>Project Controller</v>
      </c>
      <c r="E39" s="125">
        <f t="shared" ref="E39:E48" si="28">IF(ISERROR(VLOOKUP(D39, LevelRates,2,FALSE)),0,VLOOKUP(D39, LevelRates,2,FALSE))</f>
        <v>400</v>
      </c>
      <c r="F39" s="106">
        <f>E39*O$2</f>
        <v>400</v>
      </c>
      <c r="G39" s="126">
        <f>F39</f>
        <v>400</v>
      </c>
      <c r="H39" s="106">
        <f>F39*J39</f>
        <v>6000</v>
      </c>
      <c r="I39" s="106">
        <f>G39*J39</f>
        <v>6000</v>
      </c>
      <c r="J39" s="107">
        <f>SUM(K39:CH39)</f>
        <v>15</v>
      </c>
      <c r="K39" s="108">
        <v>1</v>
      </c>
      <c r="L39" s="108">
        <v>1</v>
      </c>
      <c r="M39" s="108">
        <v>1</v>
      </c>
      <c r="N39" s="108">
        <v>1</v>
      </c>
      <c r="O39" s="108">
        <v>1</v>
      </c>
      <c r="P39" s="108">
        <v>1</v>
      </c>
      <c r="Q39" s="108">
        <v>1</v>
      </c>
      <c r="R39" s="108">
        <v>1</v>
      </c>
      <c r="S39" s="108">
        <v>1</v>
      </c>
      <c r="T39" s="108">
        <v>1</v>
      </c>
      <c r="U39" s="108">
        <v>1</v>
      </c>
      <c r="V39" s="108"/>
      <c r="W39" s="108"/>
      <c r="X39" s="108">
        <v>1</v>
      </c>
      <c r="Y39" s="108">
        <v>1</v>
      </c>
      <c r="Z39" s="108">
        <v>1</v>
      </c>
      <c r="AA39" s="108">
        <v>1</v>
      </c>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8"/>
      <c r="BO39" s="108"/>
      <c r="BP39" s="108"/>
      <c r="BQ39" s="108"/>
      <c r="BR39" s="108"/>
      <c r="BS39" s="108"/>
      <c r="BT39" s="108"/>
      <c r="BU39" s="108"/>
      <c r="BV39" s="108"/>
      <c r="BW39" s="108"/>
      <c r="BX39" s="108"/>
      <c r="BY39" s="108"/>
      <c r="BZ39" s="108"/>
      <c r="CA39" s="108"/>
      <c r="CB39" s="108"/>
      <c r="CC39" s="108"/>
      <c r="CD39" s="108"/>
      <c r="CE39" s="108"/>
      <c r="CF39" s="108"/>
      <c r="CG39" s="108"/>
      <c r="CH39" s="108"/>
    </row>
    <row r="40" spans="1:86" ht="15" customHeight="1" x14ac:dyDescent="0.45">
      <c r="A40" s="122" t="s">
        <v>694</v>
      </c>
      <c r="B40" s="103" t="s">
        <v>159</v>
      </c>
      <c r="C40" s="204" t="s">
        <v>481</v>
      </c>
      <c r="D40" s="124" t="str">
        <f t="shared" si="27"/>
        <v>NS - Sr Developer</v>
      </c>
      <c r="E40" s="125">
        <f t="shared" si="28"/>
        <v>900</v>
      </c>
      <c r="F40" s="106">
        <f>E40*O$2</f>
        <v>900</v>
      </c>
      <c r="G40" s="126">
        <f>F40</f>
        <v>900</v>
      </c>
      <c r="H40" s="106">
        <f>F40*J40</f>
        <v>45000</v>
      </c>
      <c r="I40" s="106">
        <f>G40*J40</f>
        <v>45000</v>
      </c>
      <c r="J40" s="107">
        <f>SUM(K40:CH40)</f>
        <v>50</v>
      </c>
      <c r="K40" s="108"/>
      <c r="L40" s="108"/>
      <c r="M40" s="108"/>
      <c r="N40" s="108"/>
      <c r="O40" s="108"/>
      <c r="P40" s="108">
        <v>5</v>
      </c>
      <c r="Q40" s="108">
        <v>5</v>
      </c>
      <c r="R40" s="108">
        <v>5</v>
      </c>
      <c r="S40" s="108">
        <v>5</v>
      </c>
      <c r="T40" s="108">
        <v>5</v>
      </c>
      <c r="U40" s="108">
        <v>5</v>
      </c>
      <c r="V40" s="108"/>
      <c r="W40" s="108"/>
      <c r="X40" s="108">
        <v>5</v>
      </c>
      <c r="Y40" s="108">
        <v>5</v>
      </c>
      <c r="Z40" s="108">
        <v>5</v>
      </c>
      <c r="AA40" s="108">
        <v>5</v>
      </c>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8"/>
      <c r="BO40" s="108"/>
      <c r="BP40" s="108"/>
      <c r="BQ40" s="108"/>
      <c r="BR40" s="108"/>
      <c r="BS40" s="108"/>
      <c r="BT40" s="108"/>
      <c r="BU40" s="108"/>
      <c r="BV40" s="108"/>
      <c r="BW40" s="108"/>
      <c r="BX40" s="108"/>
      <c r="BY40" s="108"/>
      <c r="BZ40" s="108"/>
      <c r="CA40" s="108"/>
      <c r="CB40" s="108"/>
      <c r="CC40" s="108"/>
      <c r="CD40" s="108"/>
      <c r="CE40" s="108"/>
      <c r="CF40" s="108"/>
      <c r="CG40" s="108"/>
      <c r="CH40" s="108"/>
    </row>
    <row r="41" spans="1:86" ht="15" customHeight="1" x14ac:dyDescent="0.45">
      <c r="A41" s="122" t="s">
        <v>694</v>
      </c>
      <c r="B41" s="103" t="s">
        <v>159</v>
      </c>
      <c r="C41" s="204" t="s">
        <v>481</v>
      </c>
      <c r="D41" s="124" t="str">
        <f t="shared" si="27"/>
        <v>NS - Sr Developer</v>
      </c>
      <c r="E41" s="125">
        <f t="shared" si="28"/>
        <v>900</v>
      </c>
      <c r="F41" s="106">
        <f>E41*O$2</f>
        <v>900</v>
      </c>
      <c r="G41" s="126">
        <f>F41</f>
        <v>900</v>
      </c>
      <c r="H41" s="106">
        <f>F41*J41</f>
        <v>45000</v>
      </c>
      <c r="I41" s="106">
        <f>G41*J41</f>
        <v>45000</v>
      </c>
      <c r="J41" s="107">
        <f>SUM(K41:CH41)</f>
        <v>50</v>
      </c>
      <c r="K41" s="108"/>
      <c r="L41" s="108"/>
      <c r="M41" s="108"/>
      <c r="N41" s="108"/>
      <c r="O41" s="108"/>
      <c r="P41" s="108">
        <v>5</v>
      </c>
      <c r="Q41" s="108">
        <v>5</v>
      </c>
      <c r="R41" s="108">
        <v>5</v>
      </c>
      <c r="S41" s="108">
        <v>5</v>
      </c>
      <c r="T41" s="108">
        <v>5</v>
      </c>
      <c r="U41" s="108">
        <v>5</v>
      </c>
      <c r="V41" s="108"/>
      <c r="W41" s="108"/>
      <c r="X41" s="108">
        <v>5</v>
      </c>
      <c r="Y41" s="108">
        <v>5</v>
      </c>
      <c r="Z41" s="108">
        <v>5</v>
      </c>
      <c r="AA41" s="108">
        <v>5</v>
      </c>
      <c r="AB41" s="108"/>
      <c r="AC41" s="108"/>
      <c r="AD41" s="108"/>
      <c r="AE41" s="108"/>
      <c r="AF41" s="108"/>
      <c r="AG41" s="108"/>
      <c r="AH41" s="108"/>
      <c r="AI41" s="108"/>
      <c r="AJ41" s="108"/>
      <c r="AK41" s="108"/>
      <c r="AL41" s="108"/>
      <c r="AM41" s="108"/>
      <c r="AN41" s="108"/>
      <c r="AO41" s="108"/>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c r="BY41" s="108"/>
      <c r="BZ41" s="108"/>
      <c r="CA41" s="108"/>
      <c r="CB41" s="108"/>
      <c r="CC41" s="108"/>
      <c r="CD41" s="108"/>
      <c r="CE41" s="108"/>
      <c r="CF41" s="108"/>
      <c r="CG41" s="108"/>
      <c r="CH41" s="108"/>
    </row>
    <row r="42" spans="1:86" ht="15" customHeight="1" x14ac:dyDescent="0.45">
      <c r="A42" s="122" t="s">
        <v>695</v>
      </c>
      <c r="B42" s="103" t="s">
        <v>159</v>
      </c>
      <c r="C42" s="204" t="s">
        <v>678</v>
      </c>
      <c r="D42" s="124" t="str">
        <f t="shared" si="27"/>
        <v>NS - Sr Support Tech (Pulse)</v>
      </c>
      <c r="E42" s="125">
        <f t="shared" si="28"/>
        <v>900</v>
      </c>
      <c r="F42" s="106">
        <f>E42*O$2</f>
        <v>900</v>
      </c>
      <c r="G42" s="126">
        <f>F42</f>
        <v>900</v>
      </c>
      <c r="H42" s="106">
        <f>F42*J42</f>
        <v>13500</v>
      </c>
      <c r="I42" s="106">
        <f>G42*J42</f>
        <v>13500</v>
      </c>
      <c r="J42" s="107">
        <f>SUM(K42:CH42)</f>
        <v>15</v>
      </c>
      <c r="K42" s="108">
        <v>5</v>
      </c>
      <c r="L42" s="108">
        <v>5</v>
      </c>
      <c r="M42" s="108">
        <v>5</v>
      </c>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8"/>
      <c r="BO42" s="108"/>
      <c r="BP42" s="108"/>
      <c r="BQ42" s="108"/>
      <c r="BR42" s="108"/>
      <c r="BS42" s="108"/>
      <c r="BT42" s="108"/>
      <c r="BU42" s="108"/>
      <c r="BV42" s="108"/>
      <c r="BW42" s="108"/>
      <c r="BX42" s="108"/>
      <c r="BY42" s="108"/>
      <c r="BZ42" s="108"/>
      <c r="CA42" s="108"/>
      <c r="CB42" s="108"/>
      <c r="CC42" s="108"/>
      <c r="CD42" s="108"/>
      <c r="CE42" s="108"/>
      <c r="CF42" s="108"/>
      <c r="CG42" s="108"/>
      <c r="CH42" s="108"/>
    </row>
    <row r="43" spans="1:86" x14ac:dyDescent="0.45">
      <c r="A43" s="122" t="s">
        <v>696</v>
      </c>
      <c r="B43" s="103" t="s">
        <v>159</v>
      </c>
      <c r="C43" s="123" t="s">
        <v>393</v>
      </c>
      <c r="D43" s="124" t="str">
        <f t="shared" si="27"/>
        <v>CS - Basic Design</v>
      </c>
      <c r="E43" s="125">
        <f t="shared" si="28"/>
        <v>900</v>
      </c>
      <c r="F43" s="106">
        <f t="shared" ref="F43:F48" si="29">E43*O$2</f>
        <v>900</v>
      </c>
      <c r="G43" s="126">
        <f t="shared" ref="G43:G48" si="30">F43</f>
        <v>900</v>
      </c>
      <c r="H43" s="106">
        <f t="shared" ref="H43:H48" si="31">E43*J43</f>
        <v>23400</v>
      </c>
      <c r="I43" s="106">
        <f t="shared" ref="I43:I48" si="32">F43*J43</f>
        <v>23400</v>
      </c>
      <c r="J43" s="107">
        <f t="shared" ref="J43:J48" si="33">SUM(K43:CH43)</f>
        <v>26</v>
      </c>
      <c r="K43" s="108">
        <v>5</v>
      </c>
      <c r="L43" s="108">
        <v>5</v>
      </c>
      <c r="M43" s="108">
        <v>5</v>
      </c>
      <c r="N43" s="108">
        <v>5</v>
      </c>
      <c r="O43" s="108"/>
      <c r="P43" s="108"/>
      <c r="Q43" s="108"/>
      <c r="R43" s="108"/>
      <c r="S43" s="108">
        <v>2</v>
      </c>
      <c r="T43" s="108"/>
      <c r="U43" s="108"/>
      <c r="V43" s="108"/>
      <c r="W43" s="108"/>
      <c r="X43" s="108">
        <v>2</v>
      </c>
      <c r="Y43" s="108"/>
      <c r="Z43" s="108"/>
      <c r="AA43" s="108">
        <v>2</v>
      </c>
      <c r="AB43" s="108"/>
      <c r="AC43" s="108"/>
      <c r="AD43" s="108"/>
      <c r="AE43" s="108"/>
      <c r="AF43" s="108"/>
      <c r="AG43" s="108"/>
      <c r="AH43" s="108"/>
      <c r="AI43" s="108"/>
      <c r="AJ43" s="108"/>
      <c r="AK43" s="108"/>
      <c r="AL43" s="108"/>
      <c r="AM43" s="108"/>
      <c r="AN43" s="108"/>
      <c r="AO43" s="108"/>
      <c r="AP43" s="108"/>
      <c r="AQ43" s="108"/>
      <c r="AR43" s="108"/>
      <c r="AS43" s="108"/>
      <c r="AT43" s="108"/>
      <c r="AU43" s="108"/>
      <c r="AV43" s="108"/>
      <c r="AW43" s="108"/>
      <c r="AX43" s="108"/>
      <c r="AY43" s="108"/>
      <c r="AZ43" s="108"/>
      <c r="BA43" s="108"/>
      <c r="BB43" s="108"/>
      <c r="BC43" s="108"/>
      <c r="BD43" s="108"/>
      <c r="BE43" s="108"/>
      <c r="BF43" s="108"/>
      <c r="BG43" s="108"/>
      <c r="BH43" s="108"/>
      <c r="BI43" s="108"/>
      <c r="BJ43" s="108"/>
      <c r="BK43" s="108"/>
      <c r="BL43" s="108"/>
      <c r="BM43" s="108"/>
      <c r="BN43" s="108"/>
      <c r="BO43" s="108"/>
      <c r="BP43" s="108"/>
      <c r="BQ43" s="108"/>
      <c r="BR43" s="108"/>
      <c r="BS43" s="108"/>
      <c r="BT43" s="108"/>
      <c r="BU43" s="108"/>
      <c r="BV43" s="108"/>
      <c r="BW43" s="108"/>
      <c r="BX43" s="108"/>
      <c r="BY43" s="108"/>
      <c r="BZ43" s="108"/>
      <c r="CA43" s="108"/>
      <c r="CB43" s="108"/>
      <c r="CC43" s="108"/>
      <c r="CD43" s="108"/>
      <c r="CE43" s="108"/>
      <c r="CF43" s="108"/>
      <c r="CG43" s="108"/>
      <c r="CH43" s="108"/>
    </row>
    <row r="44" spans="1:86" x14ac:dyDescent="0.45">
      <c r="A44" s="122" t="s">
        <v>697</v>
      </c>
      <c r="B44" s="103" t="s">
        <v>159</v>
      </c>
      <c r="C44" s="123" t="s">
        <v>628</v>
      </c>
      <c r="D44" s="124" t="str">
        <f t="shared" si="27"/>
        <v>NS - Developer Y1</v>
      </c>
      <c r="E44" s="125">
        <f t="shared" si="28"/>
        <v>500</v>
      </c>
      <c r="F44" s="106">
        <f t="shared" si="29"/>
        <v>500</v>
      </c>
      <c r="G44" s="126">
        <f t="shared" si="30"/>
        <v>500</v>
      </c>
      <c r="H44" s="106">
        <f t="shared" si="31"/>
        <v>37500</v>
      </c>
      <c r="I44" s="106">
        <f t="shared" si="32"/>
        <v>37500</v>
      </c>
      <c r="J44" s="107">
        <f t="shared" si="33"/>
        <v>75</v>
      </c>
      <c r="K44" s="200">
        <v>5</v>
      </c>
      <c r="L44" s="201">
        <v>5</v>
      </c>
      <c r="M44" s="201">
        <v>5</v>
      </c>
      <c r="N44" s="201">
        <v>5</v>
      </c>
      <c r="O44" s="201">
        <v>5</v>
      </c>
      <c r="P44" s="201">
        <v>5</v>
      </c>
      <c r="Q44" s="201">
        <v>5</v>
      </c>
      <c r="R44" s="201">
        <v>5</v>
      </c>
      <c r="S44" s="201">
        <v>5</v>
      </c>
      <c r="T44" s="201">
        <v>5</v>
      </c>
      <c r="U44" s="201">
        <v>5</v>
      </c>
      <c r="V44" s="201"/>
      <c r="W44" s="201"/>
      <c r="X44" s="201">
        <v>5</v>
      </c>
      <c r="Y44" s="201">
        <v>5</v>
      </c>
      <c r="Z44" s="201">
        <v>5</v>
      </c>
      <c r="AA44" s="201">
        <v>5</v>
      </c>
      <c r="AB44" s="108"/>
      <c r="AC44" s="108"/>
      <c r="AD44" s="108"/>
      <c r="AE44" s="108"/>
      <c r="AF44" s="108"/>
      <c r="AG44" s="108"/>
      <c r="AH44" s="108"/>
      <c r="AI44" s="108"/>
      <c r="AJ44" s="108"/>
      <c r="AK44" s="108"/>
      <c r="AL44" s="108"/>
      <c r="AM44" s="108"/>
      <c r="AN44" s="108"/>
      <c r="AO44" s="108"/>
      <c r="AP44" s="108"/>
      <c r="AQ44" s="108"/>
      <c r="AR44" s="108"/>
      <c r="AS44" s="108"/>
      <c r="AT44" s="108"/>
      <c r="AU44" s="108"/>
      <c r="AV44" s="108"/>
      <c r="AW44" s="108"/>
      <c r="AX44" s="108"/>
      <c r="AY44" s="108"/>
      <c r="AZ44" s="108"/>
      <c r="BA44" s="108"/>
      <c r="BB44" s="108"/>
      <c r="BC44" s="108"/>
      <c r="BD44" s="108"/>
      <c r="BE44" s="108"/>
      <c r="BF44" s="108"/>
      <c r="BG44" s="108"/>
      <c r="BH44" s="108"/>
      <c r="BI44" s="108"/>
      <c r="BJ44" s="108"/>
      <c r="BK44" s="108"/>
      <c r="BL44" s="108"/>
      <c r="BM44" s="108"/>
      <c r="BN44" s="108"/>
      <c r="BO44" s="108"/>
      <c r="BP44" s="108"/>
      <c r="BQ44" s="108"/>
      <c r="BR44" s="108"/>
      <c r="BS44" s="108"/>
      <c r="BT44" s="108"/>
      <c r="BU44" s="108"/>
      <c r="BV44" s="108"/>
      <c r="BW44" s="108"/>
      <c r="BX44" s="108"/>
      <c r="BY44" s="108"/>
      <c r="BZ44" s="108"/>
      <c r="CA44" s="108"/>
      <c r="CB44" s="108"/>
      <c r="CC44" s="108"/>
      <c r="CD44" s="108"/>
      <c r="CE44" s="108"/>
      <c r="CF44" s="108"/>
      <c r="CG44" s="108"/>
      <c r="CH44" s="108"/>
    </row>
    <row r="45" spans="1:86" x14ac:dyDescent="0.45">
      <c r="A45" s="122"/>
      <c r="B45" s="103" t="s">
        <v>159</v>
      </c>
      <c r="C45" s="123" t="s">
        <v>698</v>
      </c>
      <c r="D45" s="124" t="str">
        <f t="shared" si="27"/>
        <v>IT Support</v>
      </c>
      <c r="E45" s="125">
        <f t="shared" si="28"/>
        <v>1350</v>
      </c>
      <c r="F45" s="106">
        <f t="shared" si="29"/>
        <v>1350</v>
      </c>
      <c r="G45" s="126">
        <f t="shared" si="30"/>
        <v>1350</v>
      </c>
      <c r="H45" s="106">
        <f t="shared" si="31"/>
        <v>0</v>
      </c>
      <c r="I45" s="106">
        <f t="shared" si="32"/>
        <v>0</v>
      </c>
      <c r="J45" s="107">
        <f t="shared" si="33"/>
        <v>0</v>
      </c>
      <c r="K45" s="108"/>
      <c r="L45" s="108"/>
      <c r="M45" s="108"/>
      <c r="N45" s="108"/>
      <c r="O45" s="108"/>
      <c r="P45" s="53"/>
      <c r="Q45" s="53"/>
      <c r="R45" s="53"/>
      <c r="S45" s="53"/>
      <c r="T45" s="53"/>
      <c r="U45" s="53"/>
      <c r="V45" s="53"/>
      <c r="W45" s="53"/>
      <c r="X45" s="53"/>
      <c r="Y45" s="53"/>
      <c r="Z45" s="53"/>
      <c r="AA45" s="53"/>
      <c r="AB45" s="53"/>
      <c r="AC45" s="53"/>
      <c r="AD45" s="53"/>
      <c r="AE45" s="53"/>
      <c r="AF45" s="53"/>
      <c r="AG45" s="53"/>
      <c r="AH45" s="53"/>
      <c r="AI45" s="53"/>
      <c r="AJ45" s="53"/>
      <c r="AK45" s="53"/>
      <c r="AL45" s="53"/>
      <c r="AM45" s="53"/>
      <c r="AN45" s="53"/>
      <c r="AO45" s="53"/>
      <c r="AP45" s="53"/>
      <c r="AQ45" s="53"/>
      <c r="AR45" s="53"/>
      <c r="AS45" s="53"/>
      <c r="AT45" s="53"/>
      <c r="AU45" s="53"/>
      <c r="AV45" s="53"/>
      <c r="AW45" s="53"/>
      <c r="AX45" s="53"/>
      <c r="AY45" s="53"/>
      <c r="AZ45" s="53"/>
      <c r="BA45" s="53"/>
      <c r="BB45" s="53"/>
      <c r="BC45" s="53"/>
      <c r="BD45" s="53"/>
      <c r="BE45" s="53"/>
      <c r="BF45" s="53"/>
      <c r="BG45" s="53"/>
      <c r="BH45" s="53"/>
      <c r="BI45" s="53"/>
      <c r="BJ45" s="53"/>
      <c r="BK45" s="53"/>
      <c r="BL45" s="53"/>
      <c r="BM45" s="53"/>
      <c r="BN45" s="53"/>
      <c r="BO45" s="53"/>
      <c r="BP45" s="53"/>
      <c r="BQ45" s="53"/>
      <c r="BR45" s="53"/>
      <c r="BS45" s="53"/>
      <c r="BT45" s="53"/>
      <c r="BU45" s="53"/>
      <c r="BV45" s="53"/>
      <c r="BW45" s="53"/>
      <c r="BX45" s="53"/>
      <c r="BY45" s="53"/>
      <c r="BZ45" s="108"/>
      <c r="CA45" s="108"/>
      <c r="CB45" s="108"/>
      <c r="CC45" s="108"/>
      <c r="CD45" s="108"/>
      <c r="CE45" s="108"/>
      <c r="CF45" s="108"/>
      <c r="CG45" s="108"/>
      <c r="CH45" s="108"/>
    </row>
    <row r="46" spans="1:86" x14ac:dyDescent="0.45">
      <c r="A46" s="122"/>
      <c r="B46" s="103"/>
      <c r="C46" s="123"/>
      <c r="D46" s="124" t="str">
        <f t="shared" si="27"/>
        <v/>
      </c>
      <c r="E46" s="125">
        <f t="shared" si="28"/>
        <v>0</v>
      </c>
      <c r="F46" s="106">
        <f t="shared" si="29"/>
        <v>0</v>
      </c>
      <c r="G46" s="126">
        <f t="shared" si="30"/>
        <v>0</v>
      </c>
      <c r="H46" s="106">
        <f t="shared" si="31"/>
        <v>0</v>
      </c>
      <c r="I46" s="106">
        <f t="shared" si="32"/>
        <v>0</v>
      </c>
      <c r="J46" s="107">
        <f t="shared" si="33"/>
        <v>0</v>
      </c>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c r="AL46" s="53"/>
      <c r="AM46" s="53"/>
      <c r="AN46" s="108"/>
      <c r="AO46" s="108"/>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8"/>
      <c r="BO46" s="108"/>
      <c r="BP46" s="108"/>
      <c r="BQ46" s="108"/>
      <c r="BR46" s="108"/>
      <c r="BS46" s="108"/>
      <c r="BT46" s="108"/>
      <c r="BU46" s="108"/>
      <c r="BV46" s="108"/>
      <c r="BW46" s="108"/>
      <c r="BX46" s="108"/>
      <c r="BY46" s="108"/>
      <c r="BZ46" s="108"/>
      <c r="CA46" s="108"/>
      <c r="CB46" s="108"/>
      <c r="CC46" s="108"/>
      <c r="CD46" s="108"/>
      <c r="CE46" s="108"/>
      <c r="CF46" s="108"/>
      <c r="CG46" s="108"/>
      <c r="CH46" s="108"/>
    </row>
    <row r="47" spans="1:86" x14ac:dyDescent="0.45">
      <c r="A47" s="122"/>
      <c r="B47" s="103"/>
      <c r="C47" s="123"/>
      <c r="D47" s="124" t="str">
        <f t="shared" si="27"/>
        <v/>
      </c>
      <c r="E47" s="125">
        <f t="shared" si="28"/>
        <v>0</v>
      </c>
      <c r="F47" s="106">
        <f t="shared" si="29"/>
        <v>0</v>
      </c>
      <c r="G47" s="126">
        <f t="shared" si="30"/>
        <v>0</v>
      </c>
      <c r="H47" s="106">
        <f t="shared" si="31"/>
        <v>0</v>
      </c>
      <c r="I47" s="106">
        <f t="shared" si="32"/>
        <v>0</v>
      </c>
      <c r="J47" s="107">
        <f t="shared" si="33"/>
        <v>0</v>
      </c>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108"/>
      <c r="AO47" s="108"/>
      <c r="AP47" s="108"/>
      <c r="AQ47" s="108"/>
      <c r="AR47" s="108"/>
      <c r="AS47" s="108"/>
      <c r="AT47" s="108"/>
      <c r="AU47" s="108"/>
      <c r="AV47" s="108"/>
      <c r="AW47" s="108"/>
      <c r="AX47" s="108"/>
      <c r="AY47" s="108"/>
      <c r="AZ47" s="108"/>
      <c r="BA47" s="108"/>
      <c r="BB47" s="108"/>
      <c r="BC47" s="108"/>
      <c r="BD47" s="108"/>
      <c r="BE47" s="108"/>
      <c r="BF47" s="108"/>
      <c r="BG47" s="108"/>
      <c r="BH47" s="108"/>
      <c r="BI47" s="108"/>
      <c r="BJ47" s="108"/>
      <c r="BK47" s="108"/>
      <c r="BL47" s="108"/>
      <c r="BM47" s="108"/>
      <c r="BN47" s="108"/>
      <c r="BO47" s="108"/>
      <c r="BP47" s="108"/>
      <c r="BQ47" s="108"/>
      <c r="BR47" s="108"/>
      <c r="BS47" s="108"/>
      <c r="BT47" s="108"/>
      <c r="BU47" s="108"/>
      <c r="BV47" s="108"/>
      <c r="BW47" s="108"/>
      <c r="BX47" s="108"/>
      <c r="BY47" s="108"/>
      <c r="BZ47" s="108"/>
      <c r="CA47" s="108"/>
      <c r="CB47" s="108"/>
      <c r="CC47" s="108"/>
      <c r="CD47" s="108"/>
      <c r="CE47" s="108"/>
      <c r="CF47" s="108"/>
      <c r="CG47" s="108"/>
      <c r="CH47" s="108"/>
    </row>
    <row r="48" spans="1:86" x14ac:dyDescent="0.45">
      <c r="A48" s="122"/>
      <c r="B48" s="103"/>
      <c r="C48" s="123"/>
      <c r="D48" s="124" t="str">
        <f t="shared" si="27"/>
        <v/>
      </c>
      <c r="E48" s="125">
        <f t="shared" si="28"/>
        <v>0</v>
      </c>
      <c r="F48" s="106">
        <f t="shared" si="29"/>
        <v>0</v>
      </c>
      <c r="G48" s="126">
        <f t="shared" si="30"/>
        <v>0</v>
      </c>
      <c r="H48" s="106">
        <f t="shared" si="31"/>
        <v>0</v>
      </c>
      <c r="I48" s="106">
        <f t="shared" si="32"/>
        <v>0</v>
      </c>
      <c r="J48" s="107">
        <f t="shared" si="33"/>
        <v>0</v>
      </c>
      <c r="K48" s="108"/>
      <c r="L48" s="108"/>
      <c r="M48" s="108"/>
      <c r="N48" s="108"/>
      <c r="O48" s="108"/>
      <c r="P48" s="108"/>
      <c r="Q48" s="108"/>
      <c r="R48" s="108"/>
      <c r="S48" s="108"/>
      <c r="T48" s="108"/>
      <c r="U48" s="108"/>
      <c r="V48" s="108"/>
      <c r="W48" s="108"/>
      <c r="X48" s="108"/>
      <c r="Y48" s="108"/>
      <c r="Z48" s="108"/>
      <c r="AA48" s="108"/>
      <c r="AB48" s="108"/>
      <c r="AC48" s="108"/>
      <c r="AD48" s="108"/>
      <c r="AE48" s="108"/>
      <c r="AF48" s="108"/>
      <c r="AG48" s="108"/>
      <c r="AH48" s="108"/>
      <c r="AI48" s="108"/>
      <c r="AJ48" s="108"/>
      <c r="AK48" s="108"/>
      <c r="AL48" s="108"/>
      <c r="AM48" s="108"/>
      <c r="AN48" s="108"/>
      <c r="AO48" s="108"/>
      <c r="AP48" s="108"/>
      <c r="AQ48" s="108"/>
      <c r="AR48" s="108"/>
      <c r="AS48" s="108"/>
      <c r="AT48" s="108"/>
      <c r="AU48" s="108"/>
      <c r="AV48" s="108"/>
      <c r="AW48" s="108"/>
      <c r="AX48" s="108"/>
      <c r="AY48" s="108"/>
      <c r="AZ48" s="108"/>
      <c r="BA48" s="108"/>
      <c r="BB48" s="108"/>
      <c r="BC48" s="108"/>
      <c r="BD48" s="108"/>
      <c r="BE48" s="108"/>
      <c r="BF48" s="108"/>
      <c r="BG48" s="108"/>
      <c r="BH48" s="108"/>
      <c r="BI48" s="108"/>
      <c r="BJ48" s="108"/>
      <c r="BK48" s="108"/>
      <c r="BL48" s="108"/>
      <c r="BM48" s="108"/>
      <c r="BN48" s="108"/>
      <c r="BO48" s="108"/>
      <c r="BP48" s="108"/>
      <c r="BQ48" s="108"/>
      <c r="BR48" s="108"/>
      <c r="BS48" s="108"/>
      <c r="BT48" s="108"/>
      <c r="BU48" s="108"/>
      <c r="BV48" s="108"/>
      <c r="BW48" s="108"/>
      <c r="BX48" s="108"/>
      <c r="BY48" s="108"/>
      <c r="BZ48" s="108"/>
      <c r="CA48" s="108"/>
      <c r="CB48" s="108"/>
      <c r="CC48" s="108"/>
      <c r="CD48" s="108"/>
      <c r="CE48" s="108"/>
      <c r="CF48" s="108"/>
      <c r="CG48" s="108"/>
      <c r="CH48" s="108"/>
    </row>
    <row r="49" spans="1:86" ht="18" customHeight="1" x14ac:dyDescent="0.45">
      <c r="A49" s="122"/>
      <c r="B49" s="103"/>
      <c r="C49" s="123"/>
      <c r="D49" s="124" t="str">
        <f t="shared" ref="D49:D50" si="34">IF(ISERROR(VLOOKUP(C49,LevelNearShore,2,0)),"",VLOOKUP(C49,LevelNearShore,2,0))</f>
        <v/>
      </c>
      <c r="E49" s="125">
        <f t="shared" ref="E49:E50" si="35">IF(ISERROR(VLOOKUP(D49, LevelRates,2,FALSE)),0,VLOOKUP(D49, LevelRates,2,FALSE))</f>
        <v>0</v>
      </c>
      <c r="F49" s="106">
        <f t="shared" ref="F49:F50" si="36">E49*O$2</f>
        <v>0</v>
      </c>
      <c r="G49" s="126">
        <f t="shared" ref="G49:G50" si="37">F49</f>
        <v>0</v>
      </c>
      <c r="H49" s="106">
        <f t="shared" ref="H49:H50" si="38">E49*J49</f>
        <v>0</v>
      </c>
      <c r="I49" s="106">
        <f t="shared" ref="I49:I50" si="39">F49*J49</f>
        <v>0</v>
      </c>
      <c r="J49" s="107">
        <f t="shared" ref="J49:J50" si="40">SUM(K49:CH49)</f>
        <v>0</v>
      </c>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AM49" s="108"/>
      <c r="AN49" s="108"/>
      <c r="AO49" s="108"/>
      <c r="AP49" s="108"/>
      <c r="AQ49" s="108"/>
      <c r="AR49" s="108"/>
      <c r="AS49" s="108"/>
      <c r="AT49" s="108"/>
      <c r="AU49" s="108"/>
      <c r="AV49" s="108"/>
      <c r="AW49" s="108"/>
      <c r="AX49" s="108"/>
      <c r="AY49" s="108"/>
      <c r="AZ49" s="108"/>
      <c r="BA49" s="108"/>
      <c r="BB49" s="108"/>
      <c r="BC49" s="108"/>
      <c r="BD49" s="108"/>
      <c r="BE49" s="108"/>
      <c r="BF49" s="108"/>
      <c r="BG49" s="108"/>
      <c r="BH49" s="108"/>
      <c r="BI49" s="108"/>
      <c r="BJ49" s="108"/>
      <c r="BK49" s="108"/>
      <c r="BL49" s="108"/>
      <c r="BM49" s="108"/>
      <c r="BN49" s="108"/>
      <c r="BO49" s="108"/>
      <c r="BP49" s="108"/>
      <c r="BQ49" s="108"/>
      <c r="BR49" s="108"/>
      <c r="BS49" s="108"/>
      <c r="BT49" s="108"/>
      <c r="BU49" s="108"/>
      <c r="BV49" s="108"/>
      <c r="BW49" s="108"/>
      <c r="BX49" s="108"/>
      <c r="BY49" s="108"/>
      <c r="BZ49" s="108"/>
      <c r="CA49" s="108"/>
      <c r="CB49" s="108"/>
      <c r="CC49" s="108"/>
      <c r="CD49" s="108"/>
      <c r="CE49" s="108"/>
      <c r="CF49" s="108"/>
      <c r="CG49" s="108"/>
      <c r="CH49" s="108"/>
    </row>
    <row r="50" spans="1:86" ht="18" customHeight="1" x14ac:dyDescent="0.45">
      <c r="A50" s="122"/>
      <c r="B50" s="103"/>
      <c r="C50" s="123"/>
      <c r="D50" s="124" t="str">
        <f t="shared" si="34"/>
        <v/>
      </c>
      <c r="E50" s="125">
        <f t="shared" si="35"/>
        <v>0</v>
      </c>
      <c r="F50" s="106">
        <f t="shared" si="36"/>
        <v>0</v>
      </c>
      <c r="G50" s="126">
        <f t="shared" si="37"/>
        <v>0</v>
      </c>
      <c r="H50" s="106">
        <f t="shared" si="38"/>
        <v>0</v>
      </c>
      <c r="I50" s="106">
        <f t="shared" si="39"/>
        <v>0</v>
      </c>
      <c r="J50" s="107">
        <f t="shared" si="40"/>
        <v>0</v>
      </c>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08"/>
      <c r="AN50" s="108"/>
      <c r="AO50" s="108"/>
      <c r="AP50" s="108"/>
      <c r="AQ50" s="108"/>
      <c r="AR50" s="108"/>
      <c r="AS50" s="108"/>
      <c r="AT50" s="108"/>
      <c r="AU50" s="108"/>
      <c r="AV50" s="108"/>
      <c r="AW50" s="108"/>
      <c r="AX50" s="108"/>
      <c r="AY50" s="108"/>
      <c r="AZ50" s="108"/>
      <c r="BA50" s="108"/>
      <c r="BB50" s="108"/>
      <c r="BC50" s="108"/>
      <c r="BD50" s="108"/>
      <c r="BE50" s="108"/>
      <c r="BF50" s="108"/>
      <c r="BG50" s="108"/>
      <c r="BH50" s="108"/>
      <c r="BI50" s="108"/>
      <c r="BJ50" s="108"/>
      <c r="BK50" s="108"/>
      <c r="BL50" s="108"/>
      <c r="BM50" s="108"/>
      <c r="BN50" s="108"/>
      <c r="BO50" s="108"/>
      <c r="BP50" s="108"/>
      <c r="BQ50" s="108"/>
      <c r="BR50" s="108"/>
      <c r="BS50" s="108"/>
      <c r="BT50" s="108"/>
      <c r="BU50" s="108"/>
      <c r="BV50" s="108"/>
      <c r="BW50" s="108"/>
      <c r="BX50" s="108"/>
      <c r="BY50" s="108"/>
      <c r="BZ50" s="108"/>
      <c r="CA50" s="108"/>
      <c r="CB50" s="108"/>
      <c r="CC50" s="108"/>
      <c r="CD50" s="108"/>
      <c r="CE50" s="108"/>
      <c r="CF50" s="108"/>
      <c r="CG50" s="108"/>
      <c r="CH50" s="108"/>
    </row>
    <row r="51" spans="1:86" ht="18" customHeight="1" thickBot="1" x14ac:dyDescent="0.5">
      <c r="A51" s="122" t="s">
        <v>353</v>
      </c>
      <c r="B51" s="103"/>
      <c r="C51" s="123"/>
      <c r="D51" s="124" t="str">
        <f t="shared" ref="D51" si="41">IF(ISERROR(VLOOKUP(C51,LevelNearShore,2,0)),"",VLOOKUP(C51,LevelNearShore,2,0))</f>
        <v/>
      </c>
      <c r="E51" s="125">
        <f t="shared" ref="E51" si="42">IF(ISERROR(VLOOKUP(D51, LevelRates,2,FALSE)),0,VLOOKUP(D51, LevelRates,2,FALSE))</f>
        <v>0</v>
      </c>
      <c r="F51" s="106">
        <f t="shared" ref="F51" si="43">E51*O$2</f>
        <v>0</v>
      </c>
      <c r="G51" s="126">
        <f t="shared" ref="G51" si="44">F51</f>
        <v>0</v>
      </c>
      <c r="H51" s="106">
        <f t="shared" ref="H51" si="45">E51*J51</f>
        <v>0</v>
      </c>
      <c r="I51" s="106">
        <f t="shared" ref="I51" si="46">F51*J51</f>
        <v>0</v>
      </c>
      <c r="J51" s="107">
        <f t="shared" ref="J51" si="47">SUM(K51:CH51)</f>
        <v>0</v>
      </c>
      <c r="K51" s="108"/>
      <c r="L51" s="108"/>
      <c r="M51" s="108"/>
      <c r="N51" s="108"/>
      <c r="O51" s="108"/>
      <c r="P51" s="108"/>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08"/>
      <c r="AN51" s="108"/>
      <c r="AO51" s="108"/>
      <c r="AP51" s="108"/>
      <c r="AQ51" s="108"/>
      <c r="AR51" s="108"/>
      <c r="AS51" s="108"/>
      <c r="AT51" s="108"/>
      <c r="AU51" s="108"/>
      <c r="AV51" s="108"/>
      <c r="AW51" s="108"/>
      <c r="AX51" s="108"/>
      <c r="AY51" s="108"/>
      <c r="AZ51" s="108"/>
      <c r="BA51" s="108"/>
      <c r="BB51" s="108"/>
      <c r="BC51" s="108"/>
      <c r="BD51" s="108"/>
      <c r="BE51" s="108"/>
      <c r="BF51" s="108"/>
      <c r="BG51" s="108"/>
      <c r="BH51" s="108"/>
      <c r="BI51" s="108"/>
      <c r="BJ51" s="108"/>
      <c r="BK51" s="108"/>
      <c r="BL51" s="108"/>
      <c r="BM51" s="108"/>
      <c r="BN51" s="108"/>
      <c r="BO51" s="108"/>
      <c r="BP51" s="108"/>
      <c r="BQ51" s="108"/>
      <c r="BR51" s="108"/>
      <c r="BS51" s="108"/>
      <c r="BT51" s="108"/>
      <c r="BU51" s="108"/>
      <c r="BV51" s="108"/>
      <c r="BW51" s="108"/>
      <c r="BX51" s="108"/>
      <c r="BY51" s="108"/>
      <c r="BZ51" s="108"/>
      <c r="CA51" s="108"/>
      <c r="CB51" s="108"/>
      <c r="CC51" s="108"/>
      <c r="CD51" s="108"/>
      <c r="CE51" s="108"/>
      <c r="CF51" s="108"/>
      <c r="CG51" s="108"/>
      <c r="CH51" s="108"/>
    </row>
    <row r="52" spans="1:86" s="76" customFormat="1" ht="13.35" thickBot="1" x14ac:dyDescent="0.5">
      <c r="A52" s="127"/>
      <c r="B52" s="127"/>
      <c r="C52" s="127"/>
      <c r="D52" s="127"/>
      <c r="E52" s="128"/>
      <c r="F52" s="127"/>
      <c r="G52" s="129" t="s">
        <v>182</v>
      </c>
      <c r="H52" s="130">
        <f>SUM(H39:H50)</f>
        <v>170400</v>
      </c>
      <c r="I52" s="130">
        <f>SUM(I39:I50)</f>
        <v>170400</v>
      </c>
      <c r="J52" s="131">
        <f>SUM(J39:J50)</f>
        <v>231</v>
      </c>
      <c r="K52" s="127"/>
      <c r="L52" s="127"/>
      <c r="M52" s="127"/>
      <c r="N52" s="127"/>
      <c r="O52" s="127"/>
      <c r="P52" s="127"/>
      <c r="Q52" s="127"/>
      <c r="R52" s="127"/>
      <c r="S52" s="127"/>
      <c r="T52" s="127"/>
      <c r="U52" s="127"/>
      <c r="V52" s="127"/>
      <c r="W52" s="127"/>
      <c r="X52" s="127"/>
      <c r="Y52" s="127"/>
      <c r="Z52" s="127"/>
      <c r="AA52" s="127"/>
      <c r="AB52" s="127"/>
      <c r="AC52" s="127"/>
      <c r="AD52" s="127"/>
      <c r="AE52" s="127"/>
      <c r="AF52" s="127"/>
      <c r="AG52" s="127"/>
      <c r="AH52" s="127"/>
      <c r="AI52" s="127"/>
      <c r="AJ52" s="127"/>
      <c r="AK52" s="127"/>
      <c r="AL52" s="127"/>
      <c r="AM52" s="127"/>
      <c r="AN52" s="127"/>
      <c r="AO52" s="127"/>
      <c r="AP52" s="127"/>
      <c r="AQ52" s="127"/>
      <c r="AR52" s="127"/>
      <c r="AS52" s="127"/>
      <c r="AT52" s="127"/>
      <c r="AU52" s="127"/>
      <c r="AV52" s="127"/>
      <c r="AW52" s="127"/>
      <c r="AX52" s="127"/>
      <c r="AY52" s="127"/>
      <c r="AZ52" s="127"/>
      <c r="BA52" s="127"/>
      <c r="BB52" s="127"/>
      <c r="BC52" s="127"/>
      <c r="BD52" s="127"/>
      <c r="BE52" s="127"/>
      <c r="BF52" s="127"/>
      <c r="BG52" s="127"/>
      <c r="BH52" s="127"/>
      <c r="BI52" s="127"/>
      <c r="BJ52" s="127"/>
      <c r="BK52" s="127"/>
      <c r="BL52" s="127"/>
      <c r="BM52" s="127"/>
      <c r="BN52" s="127"/>
      <c r="BO52" s="127"/>
      <c r="BP52" s="127"/>
      <c r="BQ52" s="127"/>
      <c r="BR52" s="127"/>
      <c r="BS52" s="127"/>
      <c r="BT52" s="127"/>
      <c r="BU52" s="127"/>
      <c r="BV52" s="127"/>
      <c r="BW52" s="127"/>
      <c r="BX52" s="127"/>
      <c r="BY52" s="127"/>
      <c r="BZ52" s="127"/>
      <c r="CA52" s="127"/>
      <c r="CB52" s="127"/>
      <c r="CC52" s="127"/>
      <c r="CD52" s="127"/>
      <c r="CE52" s="127"/>
      <c r="CF52" s="127"/>
      <c r="CG52" s="127"/>
      <c r="CH52" s="127"/>
    </row>
    <row r="53" spans="1:86" s="76" customFormat="1" ht="13.35" thickBot="1" x14ac:dyDescent="0.5">
      <c r="A53" s="116"/>
      <c r="B53" s="117"/>
      <c r="C53" s="117"/>
      <c r="D53" s="117"/>
      <c r="E53" s="121"/>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c r="AZ53" s="119"/>
      <c r="BA53" s="119"/>
      <c r="BB53" s="119"/>
      <c r="BC53" s="119"/>
      <c r="BD53" s="119"/>
      <c r="BE53" s="119"/>
      <c r="BF53" s="119"/>
      <c r="BG53" s="119"/>
      <c r="BH53" s="119"/>
      <c r="BI53" s="119"/>
      <c r="BJ53" s="120"/>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20"/>
    </row>
    <row r="54" spans="1:86" s="101" customFormat="1" ht="15" customHeight="1" x14ac:dyDescent="0.45">
      <c r="A54" s="281" t="s">
        <v>374</v>
      </c>
      <c r="B54" s="286" t="s">
        <v>542</v>
      </c>
      <c r="C54" s="271" t="s">
        <v>180</v>
      </c>
      <c r="D54" s="272"/>
      <c r="E54" s="283" t="s">
        <v>543</v>
      </c>
      <c r="F54" s="261" t="s">
        <v>178</v>
      </c>
      <c r="G54" s="261" t="s">
        <v>176</v>
      </c>
      <c r="H54" s="261" t="s">
        <v>179</v>
      </c>
      <c r="I54" s="261" t="s">
        <v>181</v>
      </c>
      <c r="J54" s="261" t="s">
        <v>26</v>
      </c>
      <c r="K54" s="261" t="s">
        <v>2</v>
      </c>
      <c r="L54" s="261" t="s">
        <v>3</v>
      </c>
      <c r="M54" s="261" t="s">
        <v>4</v>
      </c>
      <c r="N54" s="261" t="s">
        <v>5</v>
      </c>
      <c r="O54" s="261" t="s">
        <v>6</v>
      </c>
      <c r="P54" s="261" t="s">
        <v>7</v>
      </c>
      <c r="Q54" s="261" t="s">
        <v>8</v>
      </c>
      <c r="R54" s="261" t="s">
        <v>9</v>
      </c>
      <c r="S54" s="261" t="s">
        <v>10</v>
      </c>
      <c r="T54" s="261" t="s">
        <v>11</v>
      </c>
      <c r="U54" s="261" t="s">
        <v>12</v>
      </c>
      <c r="V54" s="261" t="s">
        <v>13</v>
      </c>
      <c r="W54" s="261" t="s">
        <v>14</v>
      </c>
      <c r="X54" s="261" t="s">
        <v>15</v>
      </c>
      <c r="Y54" s="261" t="s">
        <v>16</v>
      </c>
      <c r="Z54" s="261" t="s">
        <v>17</v>
      </c>
      <c r="AA54" s="261" t="s">
        <v>18</v>
      </c>
      <c r="AB54" s="261" t="s">
        <v>19</v>
      </c>
      <c r="AC54" s="261" t="s">
        <v>20</v>
      </c>
      <c r="AD54" s="261" t="s">
        <v>21</v>
      </c>
      <c r="AE54" s="261" t="s">
        <v>22</v>
      </c>
      <c r="AF54" s="261" t="s">
        <v>23</v>
      </c>
      <c r="AG54" s="261" t="s">
        <v>24</v>
      </c>
      <c r="AH54" s="261" t="s">
        <v>25</v>
      </c>
      <c r="AI54" s="261" t="s">
        <v>61</v>
      </c>
      <c r="AJ54" s="261" t="s">
        <v>62</v>
      </c>
      <c r="AK54" s="261" t="s">
        <v>63</v>
      </c>
      <c r="AL54" s="261" t="s">
        <v>64</v>
      </c>
      <c r="AM54" s="261" t="s">
        <v>65</v>
      </c>
      <c r="AN54" s="261" t="s">
        <v>66</v>
      </c>
      <c r="AO54" s="261" t="s">
        <v>67</v>
      </c>
      <c r="AP54" s="261" t="s">
        <v>68</v>
      </c>
      <c r="AQ54" s="261" t="s">
        <v>69</v>
      </c>
      <c r="AR54" s="261" t="s">
        <v>70</v>
      </c>
      <c r="AS54" s="261" t="s">
        <v>71</v>
      </c>
      <c r="AT54" s="261" t="s">
        <v>72</v>
      </c>
      <c r="AU54" s="261" t="s">
        <v>73</v>
      </c>
      <c r="AV54" s="261" t="s">
        <v>74</v>
      </c>
      <c r="AW54" s="261" t="s">
        <v>75</v>
      </c>
      <c r="AX54" s="261" t="s">
        <v>76</v>
      </c>
      <c r="AY54" s="261" t="s">
        <v>77</v>
      </c>
      <c r="AZ54" s="261" t="s">
        <v>78</v>
      </c>
      <c r="BA54" s="261" t="s">
        <v>79</v>
      </c>
      <c r="BB54" s="261" t="s">
        <v>80</v>
      </c>
      <c r="BC54" s="261" t="s">
        <v>81</v>
      </c>
      <c r="BD54" s="261" t="s">
        <v>82</v>
      </c>
      <c r="BE54" s="261" t="s">
        <v>83</v>
      </c>
      <c r="BF54" s="261" t="s">
        <v>84</v>
      </c>
      <c r="BG54" s="261" t="s">
        <v>85</v>
      </c>
      <c r="BH54" s="261" t="s">
        <v>86</v>
      </c>
      <c r="BI54" s="261" t="s">
        <v>87</v>
      </c>
      <c r="BJ54" s="318" t="s">
        <v>88</v>
      </c>
      <c r="BK54" s="291" t="s">
        <v>195</v>
      </c>
      <c r="BL54" s="263" t="s">
        <v>196</v>
      </c>
      <c r="BM54" s="263" t="s">
        <v>197</v>
      </c>
      <c r="BN54" s="263" t="s">
        <v>198</v>
      </c>
      <c r="BO54" s="263" t="s">
        <v>199</v>
      </c>
      <c r="BP54" s="263" t="s">
        <v>200</v>
      </c>
      <c r="BQ54" s="263" t="s">
        <v>201</v>
      </c>
      <c r="BR54" s="263" t="s">
        <v>202</v>
      </c>
      <c r="BS54" s="263" t="s">
        <v>203</v>
      </c>
      <c r="BT54" s="263" t="s">
        <v>204</v>
      </c>
      <c r="BU54" s="263" t="s">
        <v>205</v>
      </c>
      <c r="BV54" s="263" t="s">
        <v>206</v>
      </c>
      <c r="BW54" s="263" t="s">
        <v>207</v>
      </c>
      <c r="BX54" s="263" t="s">
        <v>208</v>
      </c>
      <c r="BY54" s="263" t="s">
        <v>209</v>
      </c>
      <c r="BZ54" s="263" t="s">
        <v>210</v>
      </c>
      <c r="CA54" s="263" t="s">
        <v>211</v>
      </c>
      <c r="CB54" s="263" t="s">
        <v>212</v>
      </c>
      <c r="CC54" s="263" t="s">
        <v>213</v>
      </c>
      <c r="CD54" s="263" t="s">
        <v>214</v>
      </c>
      <c r="CE54" s="263" t="s">
        <v>215</v>
      </c>
      <c r="CF54" s="263" t="s">
        <v>216</v>
      </c>
      <c r="CG54" s="263" t="s">
        <v>217</v>
      </c>
      <c r="CH54" s="264" t="s">
        <v>218</v>
      </c>
    </row>
    <row r="55" spans="1:86" s="101" customFormat="1" ht="13.35" thickBot="1" x14ac:dyDescent="0.5">
      <c r="A55" s="282"/>
      <c r="B55" s="287"/>
      <c r="C55" s="273"/>
      <c r="D55" s="274"/>
      <c r="E55" s="284"/>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2"/>
      <c r="AI55" s="262"/>
      <c r="AJ55" s="262"/>
      <c r="AK55" s="262"/>
      <c r="AL55" s="262"/>
      <c r="AM55" s="262"/>
      <c r="AN55" s="262"/>
      <c r="AO55" s="262"/>
      <c r="AP55" s="262"/>
      <c r="AQ55" s="262"/>
      <c r="AR55" s="262"/>
      <c r="AS55" s="262"/>
      <c r="AT55" s="262"/>
      <c r="AU55" s="262"/>
      <c r="AV55" s="262"/>
      <c r="AW55" s="262"/>
      <c r="AX55" s="262"/>
      <c r="AY55" s="262"/>
      <c r="AZ55" s="262"/>
      <c r="BA55" s="262"/>
      <c r="BB55" s="262"/>
      <c r="BC55" s="262"/>
      <c r="BD55" s="262"/>
      <c r="BE55" s="262"/>
      <c r="BF55" s="262"/>
      <c r="BG55" s="262"/>
      <c r="BH55" s="262"/>
      <c r="BI55" s="262"/>
      <c r="BJ55" s="265"/>
      <c r="BK55" s="280"/>
      <c r="BL55" s="262"/>
      <c r="BM55" s="262"/>
      <c r="BN55" s="262"/>
      <c r="BO55" s="262"/>
      <c r="BP55" s="262"/>
      <c r="BQ55" s="262"/>
      <c r="BR55" s="262"/>
      <c r="BS55" s="262"/>
      <c r="BT55" s="262"/>
      <c r="BU55" s="262"/>
      <c r="BV55" s="262"/>
      <c r="BW55" s="262"/>
      <c r="BX55" s="262"/>
      <c r="BY55" s="262"/>
      <c r="BZ55" s="262"/>
      <c r="CA55" s="262"/>
      <c r="CB55" s="262"/>
      <c r="CC55" s="262"/>
      <c r="CD55" s="262"/>
      <c r="CE55" s="262"/>
      <c r="CF55" s="262"/>
      <c r="CG55" s="262"/>
      <c r="CH55" s="265"/>
    </row>
    <row r="56" spans="1:86" x14ac:dyDescent="0.45">
      <c r="A56" s="109"/>
      <c r="B56" s="103"/>
      <c r="C56" s="316"/>
      <c r="D56" s="317"/>
      <c r="E56" s="132"/>
      <c r="F56" s="133"/>
      <c r="G56" s="134">
        <f>IF(F56=0,,((F56-E56)/F56))</f>
        <v>0</v>
      </c>
      <c r="H56" s="106">
        <f>E56*J56</f>
        <v>0</v>
      </c>
      <c r="I56" s="106">
        <f>F56*J56</f>
        <v>0</v>
      </c>
      <c r="J56" s="135">
        <f>SUM(K56:CH56)</f>
        <v>0</v>
      </c>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c r="CE56" s="136"/>
      <c r="CF56" s="136"/>
      <c r="CG56" s="136"/>
      <c r="CH56" s="136"/>
    </row>
    <row r="57" spans="1:86" x14ac:dyDescent="0.45">
      <c r="A57" s="109"/>
      <c r="B57" s="103"/>
      <c r="C57" s="311"/>
      <c r="D57" s="312"/>
      <c r="E57" s="132"/>
      <c r="F57" s="133"/>
      <c r="G57" s="134">
        <f t="shared" ref="G57:G65" si="48">IF(F57=0,,((F57-E57)/F57))</f>
        <v>0</v>
      </c>
      <c r="H57" s="106">
        <f t="shared" ref="H57:H65" si="49">E57*J57</f>
        <v>0</v>
      </c>
      <c r="I57" s="106">
        <f t="shared" ref="I57:I65" si="50">F57*J57</f>
        <v>0</v>
      </c>
      <c r="J57" s="135">
        <f t="shared" ref="J57:J65" si="51">SUM(K57:CH57)</f>
        <v>0</v>
      </c>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row>
    <row r="58" spans="1:86" x14ac:dyDescent="0.45">
      <c r="A58" s="109"/>
      <c r="B58" s="103"/>
      <c r="C58" s="311"/>
      <c r="D58" s="312"/>
      <c r="E58" s="132"/>
      <c r="F58" s="133"/>
      <c r="G58" s="134">
        <f>IF(F58=0,,((F58-E58)/F58))</f>
        <v>0</v>
      </c>
      <c r="H58" s="106">
        <f>E58*J58</f>
        <v>0</v>
      </c>
      <c r="I58" s="106">
        <f>F58*J58</f>
        <v>0</v>
      </c>
      <c r="J58" s="135">
        <f>SUM(K58:CH58)</f>
        <v>0</v>
      </c>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row>
    <row r="59" spans="1:86" x14ac:dyDescent="0.45">
      <c r="A59" s="109"/>
      <c r="B59" s="103"/>
      <c r="C59" s="311"/>
      <c r="D59" s="312"/>
      <c r="E59" s="132"/>
      <c r="F59" s="133"/>
      <c r="G59" s="134">
        <f>IF(F59=0,,((F59-E59)/F59))</f>
        <v>0</v>
      </c>
      <c r="H59" s="106">
        <f>E59*J59</f>
        <v>0</v>
      </c>
      <c r="I59" s="106">
        <f>F59*J59</f>
        <v>0</v>
      </c>
      <c r="J59" s="135">
        <f>SUM(K59:CH59)</f>
        <v>0</v>
      </c>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row>
    <row r="60" spans="1:86" x14ac:dyDescent="0.45">
      <c r="A60" s="109"/>
      <c r="B60" s="103"/>
      <c r="C60" s="311"/>
      <c r="D60" s="312"/>
      <c r="E60" s="132"/>
      <c r="F60" s="133"/>
      <c r="G60" s="134">
        <f>IF(F60=0,,((F60-E60)/F60))</f>
        <v>0</v>
      </c>
      <c r="H60" s="106">
        <f>E60*J60</f>
        <v>0</v>
      </c>
      <c r="I60" s="106">
        <f>F60*J60</f>
        <v>0</v>
      </c>
      <c r="J60" s="135">
        <f>SUM(K60:CH60)</f>
        <v>0</v>
      </c>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row>
    <row r="61" spans="1:86" x14ac:dyDescent="0.45">
      <c r="A61" s="109"/>
      <c r="B61" s="103"/>
      <c r="C61" s="311"/>
      <c r="D61" s="312"/>
      <c r="E61" s="132"/>
      <c r="F61" s="133"/>
      <c r="G61" s="134">
        <f>IF(F61=0,,((F61-E61)/F61))</f>
        <v>0</v>
      </c>
      <c r="H61" s="106">
        <f>E61*J61</f>
        <v>0</v>
      </c>
      <c r="I61" s="106">
        <f>F61*J61</f>
        <v>0</v>
      </c>
      <c r="J61" s="135">
        <f>SUM(K61:CH61)</f>
        <v>0</v>
      </c>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136"/>
      <c r="BG61" s="136"/>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row>
    <row r="62" spans="1:86" x14ac:dyDescent="0.45">
      <c r="A62" s="109"/>
      <c r="B62" s="103"/>
      <c r="C62" s="311"/>
      <c r="D62" s="312"/>
      <c r="E62" s="132"/>
      <c r="F62" s="133"/>
      <c r="G62" s="134">
        <f t="shared" si="48"/>
        <v>0</v>
      </c>
      <c r="H62" s="106">
        <f t="shared" si="49"/>
        <v>0</v>
      </c>
      <c r="I62" s="106">
        <f t="shared" si="50"/>
        <v>0</v>
      </c>
      <c r="J62" s="135">
        <f t="shared" si="51"/>
        <v>0</v>
      </c>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136"/>
      <c r="BG62" s="136"/>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row>
    <row r="63" spans="1:86" x14ac:dyDescent="0.45">
      <c r="A63" s="110"/>
      <c r="B63" s="103"/>
      <c r="C63" s="311"/>
      <c r="D63" s="312"/>
      <c r="E63" s="137"/>
      <c r="F63" s="138"/>
      <c r="G63" s="134">
        <f t="shared" si="48"/>
        <v>0</v>
      </c>
      <c r="H63" s="106">
        <f t="shared" si="49"/>
        <v>0</v>
      </c>
      <c r="I63" s="106">
        <f t="shared" si="50"/>
        <v>0</v>
      </c>
      <c r="J63" s="135">
        <f t="shared" si="51"/>
        <v>0</v>
      </c>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136"/>
      <c r="BG63" s="136"/>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row>
    <row r="64" spans="1:86" x14ac:dyDescent="0.45">
      <c r="A64" s="110"/>
      <c r="B64" s="103"/>
      <c r="C64" s="311"/>
      <c r="D64" s="312"/>
      <c r="E64" s="137"/>
      <c r="F64" s="138"/>
      <c r="G64" s="134">
        <f t="shared" si="48"/>
        <v>0</v>
      </c>
      <c r="H64" s="106">
        <f t="shared" si="49"/>
        <v>0</v>
      </c>
      <c r="I64" s="106">
        <f t="shared" si="50"/>
        <v>0</v>
      </c>
      <c r="J64" s="135">
        <f t="shared" si="51"/>
        <v>0</v>
      </c>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136"/>
      <c r="BG64" s="136"/>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row>
    <row r="65" spans="1:86" ht="13.35" thickBot="1" x14ac:dyDescent="0.5">
      <c r="A65" s="139"/>
      <c r="B65" s="140"/>
      <c r="C65" s="313"/>
      <c r="D65" s="314"/>
      <c r="E65" s="132"/>
      <c r="F65" s="133"/>
      <c r="G65" s="141">
        <f t="shared" si="48"/>
        <v>0</v>
      </c>
      <c r="H65" s="142">
        <f t="shared" si="49"/>
        <v>0</v>
      </c>
      <c r="I65" s="142">
        <f t="shared" si="50"/>
        <v>0</v>
      </c>
      <c r="J65" s="135">
        <f t="shared" si="51"/>
        <v>0</v>
      </c>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row>
    <row r="66" spans="1:86" s="76" customFormat="1" ht="13.35" thickBot="1" x14ac:dyDescent="0.5">
      <c r="A66" s="127"/>
      <c r="B66" s="127"/>
      <c r="C66" s="127"/>
      <c r="D66" s="127"/>
      <c r="E66" s="128"/>
      <c r="F66" s="127"/>
      <c r="G66" s="129" t="s">
        <v>182</v>
      </c>
      <c r="H66" s="130">
        <f>SUM(H56:H65)</f>
        <v>0</v>
      </c>
      <c r="I66" s="130">
        <f>SUM(I56:I65)</f>
        <v>0</v>
      </c>
      <c r="J66" s="143">
        <f>SUM(J56:J65)</f>
        <v>0</v>
      </c>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27"/>
      <c r="AH66" s="127"/>
      <c r="AI66" s="127"/>
      <c r="AJ66" s="127"/>
      <c r="AK66" s="127"/>
      <c r="AL66" s="127"/>
      <c r="AM66" s="127"/>
      <c r="AN66" s="127"/>
      <c r="AO66" s="127"/>
      <c r="AP66" s="127"/>
      <c r="AQ66" s="127"/>
      <c r="AR66" s="127"/>
      <c r="AS66" s="127"/>
      <c r="AT66" s="127"/>
      <c r="AU66" s="127"/>
      <c r="AV66" s="127"/>
      <c r="AW66" s="127"/>
      <c r="AX66" s="127"/>
      <c r="AY66" s="127"/>
      <c r="AZ66" s="127"/>
      <c r="BA66" s="127"/>
      <c r="BB66" s="127"/>
      <c r="BC66" s="127"/>
      <c r="BD66" s="127"/>
      <c r="BE66" s="127"/>
      <c r="BF66" s="127"/>
      <c r="BG66" s="127"/>
      <c r="BH66" s="127"/>
      <c r="BI66" s="127"/>
      <c r="BJ66" s="127"/>
      <c r="BK66" s="127"/>
      <c r="BL66" s="127"/>
      <c r="BM66" s="127"/>
      <c r="BN66" s="127"/>
      <c r="BO66" s="127"/>
      <c r="BP66" s="127"/>
      <c r="BQ66" s="127"/>
      <c r="BR66" s="127"/>
      <c r="BS66" s="127"/>
      <c r="BT66" s="127"/>
      <c r="BU66" s="127"/>
      <c r="BV66" s="127"/>
      <c r="BW66" s="127"/>
      <c r="BX66" s="127"/>
      <c r="BY66" s="127"/>
      <c r="BZ66" s="127"/>
      <c r="CA66" s="127"/>
      <c r="CB66" s="127"/>
      <c r="CC66" s="127"/>
      <c r="CD66" s="127"/>
      <c r="CE66" s="127"/>
      <c r="CF66" s="127"/>
      <c r="CG66" s="127"/>
      <c r="CH66" s="127"/>
    </row>
    <row r="67" spans="1:86" s="76" customFormat="1" x14ac:dyDescent="0.45">
      <c r="A67" s="127"/>
      <c r="B67" s="127"/>
      <c r="C67" s="127"/>
      <c r="D67" s="127"/>
      <c r="E67" s="128"/>
      <c r="F67" s="127"/>
      <c r="G67" s="127"/>
      <c r="H67" s="127"/>
      <c r="I67" s="127"/>
      <c r="J67" s="127"/>
      <c r="K67" s="127"/>
      <c r="L67" s="127"/>
      <c r="M67" s="127"/>
      <c r="N67" s="127"/>
      <c r="O67" s="127"/>
      <c r="P67" s="127"/>
      <c r="Q67" s="127"/>
      <c r="R67" s="127"/>
      <c r="S67" s="127"/>
      <c r="T67" s="127"/>
      <c r="U67" s="127"/>
      <c r="V67" s="127"/>
      <c r="W67" s="127"/>
      <c r="X67" s="127"/>
      <c r="Y67" s="127"/>
      <c r="Z67" s="127"/>
      <c r="AA67" s="127"/>
      <c r="AB67" s="127"/>
      <c r="AC67" s="127"/>
      <c r="AD67" s="127"/>
      <c r="AE67" s="127"/>
      <c r="AF67" s="127"/>
      <c r="AG67" s="127"/>
      <c r="AH67" s="127"/>
      <c r="AI67" s="127"/>
      <c r="AJ67" s="127"/>
      <c r="AK67" s="127"/>
      <c r="AL67" s="127"/>
      <c r="AM67" s="127"/>
      <c r="AN67" s="127"/>
      <c r="AO67" s="127"/>
      <c r="AP67" s="127"/>
      <c r="AQ67" s="127"/>
      <c r="AR67" s="127"/>
      <c r="AS67" s="127"/>
      <c r="AT67" s="127"/>
      <c r="AU67" s="127"/>
      <c r="AV67" s="127"/>
      <c r="AW67" s="127"/>
      <c r="AX67" s="127"/>
      <c r="AY67" s="127"/>
      <c r="AZ67" s="127"/>
      <c r="BA67" s="127"/>
      <c r="BB67" s="127"/>
      <c r="BC67" s="127"/>
      <c r="BD67" s="127"/>
      <c r="BE67" s="127"/>
      <c r="BF67" s="127"/>
      <c r="BG67" s="127"/>
      <c r="BH67" s="127"/>
      <c r="BI67" s="127"/>
      <c r="BJ67" s="127"/>
      <c r="BK67" s="127"/>
      <c r="BL67" s="127"/>
      <c r="BM67" s="127"/>
      <c r="BN67" s="127"/>
      <c r="BO67" s="127"/>
      <c r="BP67" s="127"/>
      <c r="BQ67" s="127"/>
      <c r="BR67" s="127"/>
      <c r="BS67" s="127"/>
      <c r="BT67" s="127"/>
      <c r="BU67" s="127"/>
      <c r="BV67" s="127"/>
      <c r="BW67" s="127"/>
      <c r="BX67" s="127"/>
      <c r="BY67" s="127"/>
      <c r="BZ67" s="127"/>
      <c r="CA67" s="127"/>
      <c r="CB67" s="127"/>
      <c r="CC67" s="127"/>
      <c r="CD67" s="127"/>
      <c r="CE67" s="127"/>
      <c r="CF67" s="127"/>
      <c r="CG67" s="127"/>
      <c r="CH67" s="127"/>
    </row>
    <row r="68" spans="1:86" s="76" customFormat="1" ht="13.35" thickBot="1" x14ac:dyDescent="0.5">
      <c r="E68" s="144"/>
      <c r="G68" s="145" t="s">
        <v>354</v>
      </c>
      <c r="H68" s="146">
        <f>H35+H52</f>
        <v>1820775</v>
      </c>
      <c r="I68" s="147">
        <f>I35+I52+I66</f>
        <v>935581.31096426246</v>
      </c>
      <c r="J68" s="148">
        <f>(J35*9)+J66+(J52*9)</f>
        <v>6169.5</v>
      </c>
      <c r="K68" s="148">
        <f t="shared" ref="K68:AP68" si="52">SUM(K11:K34)*9+SUM(K56:K65)+SUM(K39:K50)*9</f>
        <v>405</v>
      </c>
      <c r="L68" s="148">
        <f t="shared" si="52"/>
        <v>405</v>
      </c>
      <c r="M68" s="148">
        <f t="shared" si="52"/>
        <v>405</v>
      </c>
      <c r="N68" s="148">
        <f t="shared" si="52"/>
        <v>360</v>
      </c>
      <c r="O68" s="148">
        <f t="shared" si="52"/>
        <v>319.5</v>
      </c>
      <c r="P68" s="148">
        <f t="shared" si="52"/>
        <v>409.5</v>
      </c>
      <c r="Q68" s="148">
        <f t="shared" si="52"/>
        <v>409.5</v>
      </c>
      <c r="R68" s="148">
        <f t="shared" si="52"/>
        <v>400.5</v>
      </c>
      <c r="S68" s="148">
        <f t="shared" si="52"/>
        <v>418.5</v>
      </c>
      <c r="T68" s="148">
        <f t="shared" si="52"/>
        <v>400.5</v>
      </c>
      <c r="U68" s="148">
        <f t="shared" si="52"/>
        <v>400.5</v>
      </c>
      <c r="V68" s="148">
        <f t="shared" si="52"/>
        <v>0</v>
      </c>
      <c r="W68" s="148">
        <f t="shared" si="52"/>
        <v>0</v>
      </c>
      <c r="X68" s="148">
        <f t="shared" si="52"/>
        <v>463.5</v>
      </c>
      <c r="Y68" s="148">
        <f t="shared" si="52"/>
        <v>445.5</v>
      </c>
      <c r="Z68" s="148">
        <f t="shared" si="52"/>
        <v>445.5</v>
      </c>
      <c r="AA68" s="148">
        <f t="shared" si="52"/>
        <v>481.5</v>
      </c>
      <c r="AB68" s="148">
        <f t="shared" si="52"/>
        <v>0</v>
      </c>
      <c r="AC68" s="148">
        <f t="shared" si="52"/>
        <v>0</v>
      </c>
      <c r="AD68" s="148">
        <f t="shared" si="52"/>
        <v>0</v>
      </c>
      <c r="AE68" s="148">
        <f t="shared" si="52"/>
        <v>0</v>
      </c>
      <c r="AF68" s="148">
        <f t="shared" si="52"/>
        <v>0</v>
      </c>
      <c r="AG68" s="148">
        <f t="shared" si="52"/>
        <v>0</v>
      </c>
      <c r="AH68" s="148">
        <f t="shared" si="52"/>
        <v>0</v>
      </c>
      <c r="AI68" s="148">
        <f t="shared" si="52"/>
        <v>0</v>
      </c>
      <c r="AJ68" s="148">
        <f t="shared" si="52"/>
        <v>0</v>
      </c>
      <c r="AK68" s="148">
        <f t="shared" si="52"/>
        <v>0</v>
      </c>
      <c r="AL68" s="148">
        <f t="shared" si="52"/>
        <v>0</v>
      </c>
      <c r="AM68" s="148">
        <f t="shared" si="52"/>
        <v>0</v>
      </c>
      <c r="AN68" s="148">
        <f t="shared" si="52"/>
        <v>0</v>
      </c>
      <c r="AO68" s="148">
        <f t="shared" si="52"/>
        <v>0</v>
      </c>
      <c r="AP68" s="148">
        <f t="shared" si="52"/>
        <v>0</v>
      </c>
      <c r="AQ68" s="148">
        <f t="shared" ref="AQ68:BV68" si="53">SUM(AQ11:AQ34)*9+SUM(AQ56:AQ65)+SUM(AQ39:AQ50)*9</f>
        <v>0</v>
      </c>
      <c r="AR68" s="148">
        <f t="shared" si="53"/>
        <v>0</v>
      </c>
      <c r="AS68" s="148">
        <f t="shared" si="53"/>
        <v>0</v>
      </c>
      <c r="AT68" s="148">
        <f t="shared" si="53"/>
        <v>0</v>
      </c>
      <c r="AU68" s="148">
        <f t="shared" si="53"/>
        <v>0</v>
      </c>
      <c r="AV68" s="148">
        <f t="shared" si="53"/>
        <v>0</v>
      </c>
      <c r="AW68" s="148">
        <f t="shared" si="53"/>
        <v>0</v>
      </c>
      <c r="AX68" s="148">
        <f t="shared" si="53"/>
        <v>0</v>
      </c>
      <c r="AY68" s="148">
        <f t="shared" si="53"/>
        <v>0</v>
      </c>
      <c r="AZ68" s="148">
        <f t="shared" si="53"/>
        <v>0</v>
      </c>
      <c r="BA68" s="148">
        <f t="shared" si="53"/>
        <v>0</v>
      </c>
      <c r="BB68" s="148">
        <f t="shared" si="53"/>
        <v>0</v>
      </c>
      <c r="BC68" s="148">
        <f t="shared" si="53"/>
        <v>0</v>
      </c>
      <c r="BD68" s="148">
        <f t="shared" si="53"/>
        <v>0</v>
      </c>
      <c r="BE68" s="148">
        <f t="shared" si="53"/>
        <v>0</v>
      </c>
      <c r="BF68" s="148">
        <f t="shared" si="53"/>
        <v>0</v>
      </c>
      <c r="BG68" s="148">
        <f t="shared" si="53"/>
        <v>0</v>
      </c>
      <c r="BH68" s="148">
        <f t="shared" si="53"/>
        <v>0</v>
      </c>
      <c r="BI68" s="148">
        <f t="shared" si="53"/>
        <v>0</v>
      </c>
      <c r="BJ68" s="148">
        <f t="shared" si="53"/>
        <v>0</v>
      </c>
      <c r="BK68" s="148">
        <f t="shared" si="53"/>
        <v>0</v>
      </c>
      <c r="BL68" s="148">
        <f t="shared" si="53"/>
        <v>0</v>
      </c>
      <c r="BM68" s="148">
        <f t="shared" si="53"/>
        <v>0</v>
      </c>
      <c r="BN68" s="148">
        <f t="shared" si="53"/>
        <v>0</v>
      </c>
      <c r="BO68" s="148">
        <f t="shared" si="53"/>
        <v>0</v>
      </c>
      <c r="BP68" s="148">
        <f t="shared" si="53"/>
        <v>0</v>
      </c>
      <c r="BQ68" s="148">
        <f t="shared" si="53"/>
        <v>0</v>
      </c>
      <c r="BR68" s="148">
        <f t="shared" si="53"/>
        <v>0</v>
      </c>
      <c r="BS68" s="148">
        <f t="shared" si="53"/>
        <v>0</v>
      </c>
      <c r="BT68" s="148">
        <f t="shared" si="53"/>
        <v>0</v>
      </c>
      <c r="BU68" s="148">
        <f t="shared" si="53"/>
        <v>0</v>
      </c>
      <c r="BV68" s="148">
        <f t="shared" si="53"/>
        <v>0</v>
      </c>
      <c r="BW68" s="148">
        <f t="shared" ref="BW68:CH68" si="54">SUM(BW11:BW34)*9+SUM(BW56:BW65)+SUM(BW39:BW50)*9</f>
        <v>0</v>
      </c>
      <c r="BX68" s="148">
        <f t="shared" si="54"/>
        <v>0</v>
      </c>
      <c r="BY68" s="148">
        <f t="shared" si="54"/>
        <v>0</v>
      </c>
      <c r="BZ68" s="148">
        <f t="shared" si="54"/>
        <v>0</v>
      </c>
      <c r="CA68" s="148">
        <f t="shared" si="54"/>
        <v>0</v>
      </c>
      <c r="CB68" s="148">
        <f t="shared" si="54"/>
        <v>0</v>
      </c>
      <c r="CC68" s="148">
        <f t="shared" si="54"/>
        <v>0</v>
      </c>
      <c r="CD68" s="148">
        <f t="shared" si="54"/>
        <v>0</v>
      </c>
      <c r="CE68" s="148">
        <f t="shared" si="54"/>
        <v>0</v>
      </c>
      <c r="CF68" s="148">
        <f t="shared" si="54"/>
        <v>0</v>
      </c>
      <c r="CG68" s="148">
        <f t="shared" si="54"/>
        <v>0</v>
      </c>
      <c r="CH68" s="148">
        <f t="shared" si="54"/>
        <v>0</v>
      </c>
    </row>
    <row r="69" spans="1:86" s="76" customFormat="1" ht="13.35" hidden="1" thickTop="1" x14ac:dyDescent="0.45">
      <c r="D69" s="76" t="b">
        <f>IF(AND(D56="Sr Consultant",ABS((E56*3.5)-F56)&gt;=37.5),1,IF(AND(D56="Analyst",ABS((E56*3.5)-F56)&gt;=37.5),1,IF(AND(D56="Consultant",ABS((E56*3.5)-F56)&gt;=37.5),1,IF(AND(D56="Manager",ABS((E56*3.5)-F56)&gt;=37.5),1,IF(AND(D56="Sr Manager",ABS((E56*3.5)-F56)&gt;=37.5),1,IF(AND(D56="Principal",ABS((E56*3.5)-F56)&gt;=37.5),1))))))</f>
        <v>0</v>
      </c>
      <c r="E69" s="144"/>
    </row>
    <row r="70" spans="1:86" s="76" customFormat="1" ht="13.35" hidden="1" thickTop="1" x14ac:dyDescent="0.45">
      <c r="D70" s="76" t="b">
        <f>IF(AND(D57="Sr Consultant",ABS((E57*3.5)-F57)&gt;=37.5),1,IF(AND(D57="Analyst",ABS((E57*3.5)-F57)&gt;=37.5),1,IF(AND(D57="Consultant",ABS((E57*3.5)-F57)&gt;=37.5),1,IF(AND(D57="Manager",ABS((E57*3.5)-F57)&gt;=37.5),1,IF(AND(D57="Sr Manager",ABS((E57*3.5)-F57)&gt;=37.5),1,IF(AND(D57="Principal",ABS((E57*3.5)-F57)&gt;=37.5),1))))))</f>
        <v>0</v>
      </c>
      <c r="E70" s="144"/>
    </row>
    <row r="71" spans="1:86" s="76" customFormat="1" ht="13.35" hidden="1" thickTop="1" x14ac:dyDescent="0.45">
      <c r="D71" s="76" t="e">
        <f>IF(AND(#REF!="Sr Consultant",ABS((#REF!*3.5)-#REF!)&gt;=37.5),1,IF(AND(#REF!="Analyst",ABS((#REF!*3.5)-#REF!)&gt;=37.5),1,IF(AND(#REF!="Consultant",ABS((#REF!*3.5)-#REF!)&gt;=37.5),1,IF(AND(#REF!="Manager",ABS((#REF!*3.5)-#REF!)&gt;=37.5),1,IF(AND(#REF!="Sr Manager",ABS((#REF!*3.5)-#REF!)&gt;=37.5),1,IF(AND(#REF!="Principal",ABS((#REF!*3.5)-#REF!)&gt;=37.5),1))))))</f>
        <v>#REF!</v>
      </c>
      <c r="E71" s="144"/>
      <c r="F71" s="149"/>
    </row>
    <row r="72" spans="1:86" s="76" customFormat="1" ht="13.35" hidden="1" thickTop="1" x14ac:dyDescent="0.45">
      <c r="D72" s="76" t="b">
        <f>IF(AND(D62="Sr Consultant",ABS((E62*3.5)-F62)&gt;=37.5),1,IF(AND(D62="Analyst",ABS((E62*3.5)-F62)&gt;=37.5),1,IF(AND(D62="Consultant",ABS((E62*3.5)-F62)&gt;=37.5),1,IF(AND(D62="Manager",ABS((E62*3.5)-F62)&gt;=37.5),1,IF(AND(D62="Sr Manager",ABS((E62*3.5)-F62)&gt;=37.5),1,IF(AND(D62="Principal",ABS((E62*3.5)-F62)&gt;=37.5),1))))))</f>
        <v>0</v>
      </c>
      <c r="E72" s="144"/>
    </row>
    <row r="73" spans="1:86" s="76" customFormat="1" ht="13.35" hidden="1" thickTop="1" x14ac:dyDescent="0.45">
      <c r="D73" s="76" t="b">
        <f>IF(AND(D63="Sr Consultant",ABS((E63*3.5)-F63)&gt;=37.5),1,IF(AND(D63="Analyst",ABS((E63*3.5)-F63)&gt;=37.5),1,IF(AND(D63="Consultant",ABS((E63*3.5)-F63)&gt;=37.5),1,IF(AND(D63="Manager",ABS((E63*3.5)-F63)&gt;=37.5),1,IF(AND(D63="Sr Manager",ABS((E63*3.5)-F63)&gt;=37.5),1,IF(AND(D63="Principal",ABS((E63*3.5)-F63)&gt;=37.5),1))))))</f>
        <v>0</v>
      </c>
      <c r="E73" s="144"/>
    </row>
    <row r="74" spans="1:86" s="76" customFormat="1" ht="13.35" hidden="1" thickTop="1" x14ac:dyDescent="0.45">
      <c r="D74" s="76" t="b">
        <f>IF(AND(D64="Sr Consultant",ABS((E64*3.5)-F64)&gt;=37.5),1,IF(AND(D64="Analyst",ABS((E64*3.5)-F64)&gt;=37.5),1,IF(AND(D64="Consultant",ABS((E64*3.5)-F64)&gt;=37.5),1,IF(AND(D64="Manager",ABS((E64*3.5)-F64)&gt;=37.5),1,IF(AND(D64="Sr Manager",ABS((E64*3.5)-F64)&gt;=37.5),1,IF(AND(D64="Principal",ABS((E64*3.5)-F64)&gt;=37.5),1))))))</f>
        <v>0</v>
      </c>
      <c r="E74" s="144"/>
    </row>
    <row r="75" spans="1:86" s="76" customFormat="1" ht="13.35" hidden="1" thickTop="1" x14ac:dyDescent="0.45">
      <c r="D75" s="76" t="b">
        <f>IF(AND(D65="Sr Consultant",ABS((E65*3.5)-F65)&gt;=37.5),1,IF(AND(D65="Analyst",ABS((E65*3.5)-F65)&gt;=37.5),1,IF(AND(D65="Consultant",ABS((E65*3.5)-F65)&gt;=37.5),1,IF(AND(D65="Manager",ABS((E65*3.5)-F65)&gt;=37.5),1,IF(AND(D65="Sr Manager",ABS((E65*3.5)-F65)&gt;=37.5),1,IF(AND(D65="Principal",ABS((E65*3.5)-F65)&gt;=37.5),1))))))</f>
        <v>0</v>
      </c>
      <c r="E75" s="144"/>
    </row>
    <row r="76" spans="1:86" s="76" customFormat="1" ht="13.35" thickTop="1" x14ac:dyDescent="0.45">
      <c r="E76" s="144"/>
      <c r="I76" s="301" t="s">
        <v>167</v>
      </c>
      <c r="J76" s="302"/>
      <c r="K76" s="150">
        <f t="shared" ref="K76:AP76" si="55">SUMPRODUCT($G11:$G34,K11:K34)+SUMPRODUCT($F56:$F65,K56:K65)+SUMPRODUCT($F$39:$F$50,K39:K50)</f>
        <v>60607.733084524996</v>
      </c>
      <c r="L76" s="150">
        <f t="shared" si="55"/>
        <v>60607.733084524996</v>
      </c>
      <c r="M76" s="150">
        <f t="shared" si="55"/>
        <v>60607.733084524996</v>
      </c>
      <c r="N76" s="150">
        <f t="shared" si="55"/>
        <v>56107.733084524996</v>
      </c>
      <c r="O76" s="150">
        <f t="shared" si="55"/>
        <v>52753.877899937499</v>
      </c>
      <c r="P76" s="150">
        <f t="shared" si="55"/>
        <v>61753.877899937499</v>
      </c>
      <c r="Q76" s="150">
        <f t="shared" si="55"/>
        <v>61753.877899937499</v>
      </c>
      <c r="R76" s="150">
        <f t="shared" si="55"/>
        <v>59340.9414464375</v>
      </c>
      <c r="S76" s="150">
        <f t="shared" si="55"/>
        <v>61140.9414464375</v>
      </c>
      <c r="T76" s="150">
        <f t="shared" si="55"/>
        <v>59340.9414464375</v>
      </c>
      <c r="U76" s="150">
        <f t="shared" si="55"/>
        <v>59340.9414464375</v>
      </c>
      <c r="V76" s="150">
        <f t="shared" si="55"/>
        <v>0</v>
      </c>
      <c r="W76" s="150">
        <f t="shared" si="55"/>
        <v>0</v>
      </c>
      <c r="X76" s="150">
        <f t="shared" si="55"/>
        <v>70189.453147062508</v>
      </c>
      <c r="Y76" s="150">
        <f t="shared" si="55"/>
        <v>68389.453147062508</v>
      </c>
      <c r="Z76" s="150">
        <f t="shared" si="55"/>
        <v>68389.453147062508</v>
      </c>
      <c r="AA76" s="150">
        <f t="shared" si="55"/>
        <v>75256.619699412491</v>
      </c>
      <c r="AB76" s="150">
        <f t="shared" si="55"/>
        <v>0</v>
      </c>
      <c r="AC76" s="150">
        <f t="shared" si="55"/>
        <v>0</v>
      </c>
      <c r="AD76" s="150">
        <f t="shared" si="55"/>
        <v>0</v>
      </c>
      <c r="AE76" s="150">
        <f t="shared" si="55"/>
        <v>0</v>
      </c>
      <c r="AF76" s="150">
        <f t="shared" si="55"/>
        <v>0</v>
      </c>
      <c r="AG76" s="150">
        <f t="shared" si="55"/>
        <v>0</v>
      </c>
      <c r="AH76" s="150">
        <f t="shared" si="55"/>
        <v>0</v>
      </c>
      <c r="AI76" s="150">
        <f t="shared" si="55"/>
        <v>0</v>
      </c>
      <c r="AJ76" s="150">
        <f t="shared" si="55"/>
        <v>0</v>
      </c>
      <c r="AK76" s="150">
        <f t="shared" si="55"/>
        <v>0</v>
      </c>
      <c r="AL76" s="150">
        <f t="shared" si="55"/>
        <v>0</v>
      </c>
      <c r="AM76" s="150">
        <f t="shared" si="55"/>
        <v>0</v>
      </c>
      <c r="AN76" s="150">
        <f t="shared" si="55"/>
        <v>0</v>
      </c>
      <c r="AO76" s="150">
        <f t="shared" si="55"/>
        <v>0</v>
      </c>
      <c r="AP76" s="150">
        <f t="shared" si="55"/>
        <v>0</v>
      </c>
      <c r="AQ76" s="150">
        <f t="shared" ref="AQ76:BV76" si="56">SUMPRODUCT($G11:$G34,AQ11:AQ34)+SUMPRODUCT($F56:$F65,AQ56:AQ65)+SUMPRODUCT($F$39:$F$50,AQ39:AQ50)</f>
        <v>0</v>
      </c>
      <c r="AR76" s="150">
        <f t="shared" si="56"/>
        <v>0</v>
      </c>
      <c r="AS76" s="150">
        <f t="shared" si="56"/>
        <v>0</v>
      </c>
      <c r="AT76" s="150">
        <f t="shared" si="56"/>
        <v>0</v>
      </c>
      <c r="AU76" s="150">
        <f t="shared" si="56"/>
        <v>0</v>
      </c>
      <c r="AV76" s="150">
        <f t="shared" si="56"/>
        <v>0</v>
      </c>
      <c r="AW76" s="150">
        <f t="shared" si="56"/>
        <v>0</v>
      </c>
      <c r="AX76" s="150">
        <f t="shared" si="56"/>
        <v>0</v>
      </c>
      <c r="AY76" s="150">
        <f t="shared" si="56"/>
        <v>0</v>
      </c>
      <c r="AZ76" s="150">
        <f t="shared" si="56"/>
        <v>0</v>
      </c>
      <c r="BA76" s="150">
        <f t="shared" si="56"/>
        <v>0</v>
      </c>
      <c r="BB76" s="150">
        <f t="shared" si="56"/>
        <v>0</v>
      </c>
      <c r="BC76" s="150">
        <f t="shared" si="56"/>
        <v>0</v>
      </c>
      <c r="BD76" s="150">
        <f t="shared" si="56"/>
        <v>0</v>
      </c>
      <c r="BE76" s="150">
        <f t="shared" si="56"/>
        <v>0</v>
      </c>
      <c r="BF76" s="150">
        <f t="shared" si="56"/>
        <v>0</v>
      </c>
      <c r="BG76" s="150">
        <f t="shared" si="56"/>
        <v>0</v>
      </c>
      <c r="BH76" s="150">
        <f t="shared" si="56"/>
        <v>0</v>
      </c>
      <c r="BI76" s="150">
        <f t="shared" si="56"/>
        <v>0</v>
      </c>
      <c r="BJ76" s="150">
        <f t="shared" si="56"/>
        <v>0</v>
      </c>
      <c r="BK76" s="150">
        <f t="shared" si="56"/>
        <v>0</v>
      </c>
      <c r="BL76" s="150">
        <f t="shared" si="56"/>
        <v>0</v>
      </c>
      <c r="BM76" s="150">
        <f t="shared" si="56"/>
        <v>0</v>
      </c>
      <c r="BN76" s="150">
        <f t="shared" si="56"/>
        <v>0</v>
      </c>
      <c r="BO76" s="150">
        <f t="shared" si="56"/>
        <v>0</v>
      </c>
      <c r="BP76" s="150">
        <f t="shared" si="56"/>
        <v>0</v>
      </c>
      <c r="BQ76" s="150">
        <f t="shared" si="56"/>
        <v>0</v>
      </c>
      <c r="BR76" s="150">
        <f t="shared" si="56"/>
        <v>0</v>
      </c>
      <c r="BS76" s="150">
        <f t="shared" si="56"/>
        <v>0</v>
      </c>
      <c r="BT76" s="150">
        <f t="shared" si="56"/>
        <v>0</v>
      </c>
      <c r="BU76" s="150">
        <f t="shared" si="56"/>
        <v>0</v>
      </c>
      <c r="BV76" s="150">
        <f t="shared" si="56"/>
        <v>0</v>
      </c>
      <c r="BW76" s="150">
        <f t="shared" ref="BW76:CH76" si="57">SUMPRODUCT($G11:$G34,BW11:BW34)+SUMPRODUCT($F56:$F65,BW56:BW65)+SUMPRODUCT($F$39:$F$50,BW39:BW50)</f>
        <v>0</v>
      </c>
      <c r="BX76" s="150">
        <f t="shared" si="57"/>
        <v>0</v>
      </c>
      <c r="BY76" s="150">
        <f t="shared" si="57"/>
        <v>0</v>
      </c>
      <c r="BZ76" s="150">
        <f t="shared" si="57"/>
        <v>0</v>
      </c>
      <c r="CA76" s="150">
        <f t="shared" si="57"/>
        <v>0</v>
      </c>
      <c r="CB76" s="150">
        <f t="shared" si="57"/>
        <v>0</v>
      </c>
      <c r="CC76" s="150">
        <f t="shared" si="57"/>
        <v>0</v>
      </c>
      <c r="CD76" s="150">
        <f t="shared" si="57"/>
        <v>0</v>
      </c>
      <c r="CE76" s="150">
        <f t="shared" si="57"/>
        <v>0</v>
      </c>
      <c r="CF76" s="150">
        <f t="shared" si="57"/>
        <v>0</v>
      </c>
      <c r="CG76" s="150">
        <f t="shared" si="57"/>
        <v>0</v>
      </c>
      <c r="CH76" s="150">
        <f t="shared" si="57"/>
        <v>0</v>
      </c>
    </row>
    <row r="77" spans="1:86" s="76" customFormat="1" x14ac:dyDescent="0.45">
      <c r="E77" s="144"/>
    </row>
    <row r="78" spans="1:86" s="76" customFormat="1" x14ac:dyDescent="0.45">
      <c r="E78" s="144"/>
    </row>
    <row r="83" spans="49:49" x14ac:dyDescent="0.45">
      <c r="AW83" s="74" t="s">
        <v>647</v>
      </c>
    </row>
  </sheetData>
  <sheetProtection algorithmName="SHA-512" hashValue="PmzMFWR36MROhR7ELJhZpfOsE2TMwA3aPiOmOCTEjwmw7lwyrjKIrlLJ2cXGUcoIWVkJp39z1aPHff6ILLLZmg==" saltValue="vlIbXqQzHgq5ItllXTfwQw==" spinCount="100000" sheet="1" objects="1" scenarios="1"/>
  <dataConsolidate/>
  <mergeCells count="279">
    <mergeCell ref="B9:B10"/>
    <mergeCell ref="B37:B38"/>
    <mergeCell ref="B54:B55"/>
    <mergeCell ref="BF54:BF55"/>
    <mergeCell ref="BG54:BG55"/>
    <mergeCell ref="H54:H55"/>
    <mergeCell ref="AL54:AL55"/>
    <mergeCell ref="J54:J55"/>
    <mergeCell ref="BQ54:BQ55"/>
    <mergeCell ref="AI54:AI55"/>
    <mergeCell ref="AJ54:AJ55"/>
    <mergeCell ref="AK54:AK55"/>
    <mergeCell ref="U54:U55"/>
    <mergeCell ref="V54:V55"/>
    <mergeCell ref="W54:W55"/>
    <mergeCell ref="BQ9:BQ10"/>
    <mergeCell ref="AY54:AY55"/>
    <mergeCell ref="AD9:AD10"/>
    <mergeCell ref="AE9:AE10"/>
    <mergeCell ref="AF9:AF10"/>
    <mergeCell ref="AG9:AG10"/>
    <mergeCell ref="AH9:AH10"/>
    <mergeCell ref="W9:W10"/>
    <mergeCell ref="X9:X10"/>
    <mergeCell ref="BR54:BR55"/>
    <mergeCell ref="CC54:CC55"/>
    <mergeCell ref="BS54:BS55"/>
    <mergeCell ref="BT54:BT55"/>
    <mergeCell ref="BU54:BU55"/>
    <mergeCell ref="BV54:BV55"/>
    <mergeCell ref="BW54:BW55"/>
    <mergeCell ref="BX54:BX55"/>
    <mergeCell ref="BY54:BY55"/>
    <mergeCell ref="BZ54:BZ55"/>
    <mergeCell ref="CA54:CA55"/>
    <mergeCell ref="CB54:CB55"/>
    <mergeCell ref="BZ9:BZ10"/>
    <mergeCell ref="CA9:CA10"/>
    <mergeCell ref="CB9:CB10"/>
    <mergeCell ref="CD54:CD55"/>
    <mergeCell ref="CE54:CE55"/>
    <mergeCell ref="CF54:CF55"/>
    <mergeCell ref="CG54:CG55"/>
    <mergeCell ref="CH54:CH55"/>
    <mergeCell ref="CC9:CC10"/>
    <mergeCell ref="CD9:CD10"/>
    <mergeCell ref="CE9:CE10"/>
    <mergeCell ref="CF9:CF10"/>
    <mergeCell ref="CG9:CG10"/>
    <mergeCell ref="CH9:CH10"/>
    <mergeCell ref="CF37:CF38"/>
    <mergeCell ref="CG37:CG38"/>
    <mergeCell ref="CH37:CH38"/>
    <mergeCell ref="CC37:CC38"/>
    <mergeCell ref="CD37:CD38"/>
    <mergeCell ref="CE37:CE38"/>
    <mergeCell ref="BR9:BR10"/>
    <mergeCell ref="BS9:BS10"/>
    <mergeCell ref="BT9:BT10"/>
    <mergeCell ref="BU9:BU10"/>
    <mergeCell ref="BV9:BV10"/>
    <mergeCell ref="BW9:BW10"/>
    <mergeCell ref="BX9:BX10"/>
    <mergeCell ref="BY9:BY10"/>
    <mergeCell ref="C59:D59"/>
    <mergeCell ref="AP9:AP10"/>
    <mergeCell ref="AQ9:AQ10"/>
    <mergeCell ref="T9:T10"/>
    <mergeCell ref="U9:U10"/>
    <mergeCell ref="V9:V10"/>
    <mergeCell ref="AC9:AC10"/>
    <mergeCell ref="BD54:BD55"/>
    <mergeCell ref="BE54:BE55"/>
    <mergeCell ref="AZ54:AZ55"/>
    <mergeCell ref="BA54:BA55"/>
    <mergeCell ref="BB54:BB55"/>
    <mergeCell ref="BC54:BC55"/>
    <mergeCell ref="AV54:AV55"/>
    <mergeCell ref="AW54:AW55"/>
    <mergeCell ref="AX54:AX55"/>
    <mergeCell ref="C60:D60"/>
    <mergeCell ref="C61:D61"/>
    <mergeCell ref="BK9:BK10"/>
    <mergeCell ref="BL9:BL10"/>
    <mergeCell ref="BM9:BM10"/>
    <mergeCell ref="BN9:BN10"/>
    <mergeCell ref="BO9:BO10"/>
    <mergeCell ref="BP9:BP10"/>
    <mergeCell ref="BK54:BK55"/>
    <mergeCell ref="BL54:BL55"/>
    <mergeCell ref="BM54:BM55"/>
    <mergeCell ref="BN54:BN55"/>
    <mergeCell ref="BO54:BO55"/>
    <mergeCell ref="BP54:BP55"/>
    <mergeCell ref="C54:D55"/>
    <mergeCell ref="C56:D56"/>
    <mergeCell ref="C57:D57"/>
    <mergeCell ref="BI54:BI55"/>
    <mergeCell ref="BJ54:BJ55"/>
    <mergeCell ref="AR54:AR55"/>
    <mergeCell ref="AS54:AS55"/>
    <mergeCell ref="AT54:AT55"/>
    <mergeCell ref="AU54:AU55"/>
    <mergeCell ref="BA9:BA10"/>
    <mergeCell ref="C62:D62"/>
    <mergeCell ref="C63:D63"/>
    <mergeCell ref="C64:D64"/>
    <mergeCell ref="C65:D65"/>
    <mergeCell ref="BH54:BH55"/>
    <mergeCell ref="AM54:AM55"/>
    <mergeCell ref="AN54:AN55"/>
    <mergeCell ref="AO54:AO55"/>
    <mergeCell ref="AP54:AP55"/>
    <mergeCell ref="AQ54:AQ55"/>
    <mergeCell ref="AF54:AF55"/>
    <mergeCell ref="AG54:AG55"/>
    <mergeCell ref="AH54:AH55"/>
    <mergeCell ref="AC54:AC55"/>
    <mergeCell ref="AD54:AD55"/>
    <mergeCell ref="AE54:AE55"/>
    <mergeCell ref="S54:S55"/>
    <mergeCell ref="Q54:Q55"/>
    <mergeCell ref="R54:R55"/>
    <mergeCell ref="N54:N55"/>
    <mergeCell ref="C58:D58"/>
    <mergeCell ref="I54:I55"/>
    <mergeCell ref="AB54:AB55"/>
    <mergeCell ref="T54:T55"/>
    <mergeCell ref="AM9:AM10"/>
    <mergeCell ref="AI9:AI10"/>
    <mergeCell ref="AJ9:AJ10"/>
    <mergeCell ref="AK9:AK10"/>
    <mergeCell ref="BJ9:BJ10"/>
    <mergeCell ref="AR9:AR10"/>
    <mergeCell ref="AS9:AS10"/>
    <mergeCell ref="AN9:AN10"/>
    <mergeCell ref="AO9:AO10"/>
    <mergeCell ref="BH9:BH10"/>
    <mergeCell ref="BI9:BI10"/>
    <mergeCell ref="BB9:BB10"/>
    <mergeCell ref="BC9:BC10"/>
    <mergeCell ref="BD9:BD10"/>
    <mergeCell ref="BE9:BE10"/>
    <mergeCell ref="AT9:AT10"/>
    <mergeCell ref="AU9:AU10"/>
    <mergeCell ref="AV9:AV10"/>
    <mergeCell ref="AW9:AW10"/>
    <mergeCell ref="BF9:BF10"/>
    <mergeCell ref="BG9:BG10"/>
    <mergeCell ref="AX9:AX10"/>
    <mergeCell ref="AY9:AY10"/>
    <mergeCell ref="AZ9:AZ10"/>
    <mergeCell ref="R37:R38"/>
    <mergeCell ref="S37:S38"/>
    <mergeCell ref="T37:T38"/>
    <mergeCell ref="Y9:Y10"/>
    <mergeCell ref="U37:U38"/>
    <mergeCell ref="Z9:Z10"/>
    <mergeCell ref="AA9:AA10"/>
    <mergeCell ref="AB9:AB10"/>
    <mergeCell ref="AL9:AL10"/>
    <mergeCell ref="V37:V38"/>
    <mergeCell ref="W37:W38"/>
    <mergeCell ref="X37:X38"/>
    <mergeCell ref="Y37:Y38"/>
    <mergeCell ref="Z37:Z38"/>
    <mergeCell ref="AA37:AA38"/>
    <mergeCell ref="AB37:AB38"/>
    <mergeCell ref="AC37:AC38"/>
    <mergeCell ref="AD37:AD38"/>
    <mergeCell ref="AE37:AE38"/>
    <mergeCell ref="AF37:AF38"/>
    <mergeCell ref="AG37:AG38"/>
    <mergeCell ref="AH37:AH38"/>
    <mergeCell ref="AI37:AI38"/>
    <mergeCell ref="AJ37:AJ38"/>
    <mergeCell ref="X54:X55"/>
    <mergeCell ref="Y54:Y55"/>
    <mergeCell ref="Z54:Z55"/>
    <mergeCell ref="AA54:AA55"/>
    <mergeCell ref="K54:K55"/>
    <mergeCell ref="L54:L55"/>
    <mergeCell ref="M54:M55"/>
    <mergeCell ref="O54:O55"/>
    <mergeCell ref="P54:P55"/>
    <mergeCell ref="I76:J76"/>
    <mergeCell ref="A7:C7"/>
    <mergeCell ref="A3:C3"/>
    <mergeCell ref="A4:C4"/>
    <mergeCell ref="K7:V7"/>
    <mergeCell ref="F3:G3"/>
    <mergeCell ref="F9:F10"/>
    <mergeCell ref="G9:G10"/>
    <mergeCell ref="Q9:Q10"/>
    <mergeCell ref="R9:R10"/>
    <mergeCell ref="S9:S10"/>
    <mergeCell ref="K9:K10"/>
    <mergeCell ref="L9:L10"/>
    <mergeCell ref="M9:M10"/>
    <mergeCell ref="G54:G55"/>
    <mergeCell ref="A9:A10"/>
    <mergeCell ref="A54:A55"/>
    <mergeCell ref="D9:D10"/>
    <mergeCell ref="C9:C10"/>
    <mergeCell ref="F54:F55"/>
    <mergeCell ref="E54:E55"/>
    <mergeCell ref="J3:K3"/>
    <mergeCell ref="H9:H10"/>
    <mergeCell ref="A37:A38"/>
    <mergeCell ref="A6:C6"/>
    <mergeCell ref="A5:C5"/>
    <mergeCell ref="E9:E10"/>
    <mergeCell ref="L37:L38"/>
    <mergeCell ref="M37:M38"/>
    <mergeCell ref="N37:N38"/>
    <mergeCell ref="O37:O38"/>
    <mergeCell ref="P37:P38"/>
    <mergeCell ref="Q37:Q38"/>
    <mergeCell ref="E37:E38"/>
    <mergeCell ref="F37:F38"/>
    <mergeCell ref="G37:G38"/>
    <mergeCell ref="H37:H38"/>
    <mergeCell ref="I37:I38"/>
    <mergeCell ref="J37:J38"/>
    <mergeCell ref="K37:K38"/>
    <mergeCell ref="C37:C38"/>
    <mergeCell ref="D37:D38"/>
    <mergeCell ref="J9:J10"/>
    <mergeCell ref="I9:I10"/>
    <mergeCell ref="N9:N10"/>
    <mergeCell ref="O9:O10"/>
    <mergeCell ref="P9:P10"/>
    <mergeCell ref="F5:G5"/>
    <mergeCell ref="AK37:AK38"/>
    <mergeCell ref="AL37:AL38"/>
    <mergeCell ref="BB37:BB38"/>
    <mergeCell ref="BU37:BU38"/>
    <mergeCell ref="BV37:BV38"/>
    <mergeCell ref="BC37:BC38"/>
    <mergeCell ref="BD37:BD38"/>
    <mergeCell ref="AM37:AM38"/>
    <mergeCell ref="AN37:AN38"/>
    <mergeCell ref="AO37:AO38"/>
    <mergeCell ref="AP37:AP38"/>
    <mergeCell ref="AQ37:AQ38"/>
    <mergeCell ref="AR37:AR38"/>
    <mergeCell ref="AS37:AS38"/>
    <mergeCell ref="AT37:AT38"/>
    <mergeCell ref="AU37:AU38"/>
    <mergeCell ref="AV37:AV38"/>
    <mergeCell ref="AW37:AW38"/>
    <mergeCell ref="AX37:AX38"/>
    <mergeCell ref="AY37:AY38"/>
    <mergeCell ref="AZ37:AZ38"/>
    <mergeCell ref="BA37:BA38"/>
    <mergeCell ref="H7:J8"/>
    <mergeCell ref="F4:G4"/>
    <mergeCell ref="BW37:BW38"/>
    <mergeCell ref="BX37:BX38"/>
    <mergeCell ref="BY37:BY38"/>
    <mergeCell ref="BZ37:BZ38"/>
    <mergeCell ref="CA37:CA38"/>
    <mergeCell ref="CB37:CB38"/>
    <mergeCell ref="BE37:BE38"/>
    <mergeCell ref="BF37:BF38"/>
    <mergeCell ref="BG37:BG38"/>
    <mergeCell ref="BH37:BH38"/>
    <mergeCell ref="BI37:BI38"/>
    <mergeCell ref="BJ37:BJ38"/>
    <mergeCell ref="BK37:BK38"/>
    <mergeCell ref="BL37:BL38"/>
    <mergeCell ref="BM37:BM38"/>
    <mergeCell ref="BN37:BN38"/>
    <mergeCell ref="BO37:BO38"/>
    <mergeCell ref="BP37:BP38"/>
    <mergeCell ref="BQ37:BQ38"/>
    <mergeCell ref="BR37:BR38"/>
    <mergeCell ref="BS37:BS38"/>
    <mergeCell ref="BT37:BT38"/>
  </mergeCells>
  <phoneticPr fontId="2" type="noConversion"/>
  <conditionalFormatting sqref="E56:E62">
    <cfRule type="expression" dxfId="88" priority="36" stopIfTrue="1">
      <formula>"if(AND($C$21=""Sr Consultant"",($D$21*3.5)-$E$21 &gt;=50))"</formula>
    </cfRule>
  </conditionalFormatting>
  <conditionalFormatting sqref="G56:G65">
    <cfRule type="cellIs" dxfId="87" priority="32" operator="equal">
      <formula>0</formula>
    </cfRule>
    <cfRule type="cellIs" dxfId="86" priority="33" operator="lessThan">
      <formula>0.4</formula>
    </cfRule>
  </conditionalFormatting>
  <conditionalFormatting sqref="E65">
    <cfRule type="expression" dxfId="85" priority="27" stopIfTrue="1">
      <formula>"if(AND($C$21=""Sr Consultant"",($D$21*3.5)-$E$21 &gt;=50))"</formula>
    </cfRule>
  </conditionalFormatting>
  <conditionalFormatting sqref="L5">
    <cfRule type="cellIs" dxfId="84" priority="18" operator="equal">
      <formula>0</formula>
    </cfRule>
    <cfRule type="cellIs" dxfId="83" priority="19" operator="lessThan">
      <formula>0.4</formula>
    </cfRule>
  </conditionalFormatting>
  <dataValidations count="11">
    <dataValidation type="decimal" allowBlank="1" showInputMessage="1" showErrorMessage="1" sqref="H3" xr:uid="{00000000-0002-0000-0200-000000000000}">
      <formula1>0</formula1>
      <formula2>1</formula2>
    </dataValidation>
    <dataValidation type="decimal" allowBlank="1" showInputMessage="1" showErrorMessage="1" error="Please enter a valid dollar amount." sqref="D3:D4" xr:uid="{00000000-0002-0000-0200-000001000000}">
      <formula1>0</formula1>
      <formula2>999999999</formula2>
    </dataValidation>
    <dataValidation type="decimal" allowBlank="1" showInputMessage="1" showErrorMessage="1" error="Please enter a valid dollar amount. " sqref="E56:E65" xr:uid="{00000000-0002-0000-0200-000002000000}">
      <formula1>0</formula1>
      <formula2>99999</formula2>
    </dataValidation>
    <dataValidation allowBlank="1" showInputMessage="1" showErrorMessage="1" error="Please enter a valid dollar amount. " sqref="F56:F65" xr:uid="{00000000-0002-0000-0200-000003000000}"/>
    <dataValidation type="decimal" operator="greaterThan" allowBlank="1" showInputMessage="1" showErrorMessage="1" errorTitle="Margin Too Low" error="Contractor Margin must be at least 40%." sqref="G56:G65 G43:G51" xr:uid="{00000000-0002-0000-0200-000004000000}">
      <formula1>0.399999</formula1>
    </dataValidation>
    <dataValidation type="list" allowBlank="1" showDropDown="1" showInputMessage="1" showErrorMessage="1" error="Days per week cannot exceed 7, and partial days must be counted as half-days." sqref="K11:N14 K16:N17 L18:L21 K18:K34 O11:CH34 M18:N34 L23:L34" xr:uid="{00000000-0002-0000-0200-000007000000}">
      <formula1>$K$4:$Z$4</formula1>
    </dataValidation>
    <dataValidation type="list" allowBlank="1" showInputMessage="1" showErrorMessage="1" sqref="B56:B65 B12:B34 B39:B51" xr:uid="{00000000-0002-0000-0200-000009000000}">
      <formula1>SvcArea</formula1>
    </dataValidation>
    <dataValidation type="list" showInputMessage="1" showErrorMessage="1" sqref="B11" xr:uid="{00000000-0002-0000-0200-00000A000000}">
      <formula1>SvcArea</formula1>
    </dataValidation>
    <dataValidation type="list" allowBlank="1" showInputMessage="1" showErrorMessage="1" sqref="C39:C51" xr:uid="{00000000-0002-0000-0200-000006000000}">
      <formula1>NearShore</formula1>
    </dataValidation>
    <dataValidation type="list" allowBlank="1" showDropDown="1" showErrorMessage="1" errorTitle="Please enter a whole number" error="This level must be budgeted in full weeks only" promptTitle="Please enter a whole number" prompt="Numbers of hours per week must be a whole number, or blank." sqref="K39:CH51" xr:uid="{00000000-0002-0000-0200-000008000000}">
      <formula1>$K$4:$X$4</formula1>
    </dataValidation>
    <dataValidation type="list" allowBlank="1" showInputMessage="1" showErrorMessage="1" sqref="C11:C34" xr:uid="{00000000-0002-0000-0200-000005000000}">
      <formula1>EmplList3</formula1>
    </dataValidation>
  </dataValidations>
  <pageMargins left="0.75" right="0.75" top="1" bottom="1" header="0.5" footer="0.5"/>
  <pageSetup orientation="portrait" r:id="rId1"/>
  <headerFooter alignWithMargins="0"/>
  <ignoredErrors>
    <ignoredError sqref="G39:G4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9" r:id="rId4" name="Check Box 3">
              <controlPr defaultSize="0" autoFill="0" autoLine="0" autoPict="0" macro="[0]!CheckBox3_Click">
                <anchor moveWithCells="1">
                  <from>
                    <xdr:col>7</xdr:col>
                    <xdr:colOff>440267</xdr:colOff>
                    <xdr:row>4</xdr:row>
                    <xdr:rowOff>0</xdr:rowOff>
                  </from>
                  <to>
                    <xdr:col>7</xdr:col>
                    <xdr:colOff>630767</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autoPageBreaks="0"/>
  </sheetPr>
  <dimension ref="A1:Z228"/>
  <sheetViews>
    <sheetView showGridLines="0" topLeftCell="A19" workbookViewId="0">
      <selection activeCell="C37" sqref="C37"/>
    </sheetView>
  </sheetViews>
  <sheetFormatPr defaultColWidth="8.703125" defaultRowHeight="12.7" x14ac:dyDescent="0.4"/>
  <cols>
    <col min="1" max="4" width="30" customWidth="1"/>
  </cols>
  <sheetData>
    <row r="1" spans="1:26" ht="18.350000000000001" thickBot="1" x14ac:dyDescent="0.65">
      <c r="A1" s="19" t="s">
        <v>618</v>
      </c>
      <c r="B1" s="63"/>
      <c r="C1" s="63"/>
      <c r="D1" s="63"/>
      <c r="E1" s="63"/>
      <c r="F1" s="63"/>
      <c r="G1" s="63"/>
      <c r="H1" s="63"/>
      <c r="I1" s="63"/>
      <c r="J1" s="63"/>
      <c r="K1" s="63"/>
      <c r="L1" s="63"/>
      <c r="M1" s="63"/>
      <c r="N1" s="63"/>
      <c r="O1" s="63"/>
      <c r="P1" s="63"/>
      <c r="Q1" s="63"/>
      <c r="R1" s="63"/>
      <c r="S1" s="63"/>
      <c r="T1" s="63"/>
      <c r="U1" s="63"/>
      <c r="V1" s="63"/>
      <c r="W1" s="63"/>
      <c r="X1" s="63"/>
      <c r="Y1" s="63"/>
      <c r="Z1" s="63"/>
    </row>
    <row r="2" spans="1:26" ht="13" x14ac:dyDescent="0.45">
      <c r="A2" s="60" t="s">
        <v>544</v>
      </c>
      <c r="B2" s="62"/>
      <c r="C2" s="61" t="s">
        <v>545</v>
      </c>
      <c r="D2" s="65"/>
      <c r="E2" s="63"/>
      <c r="F2" s="63"/>
      <c r="G2" s="63"/>
      <c r="H2" s="63"/>
      <c r="I2" s="64"/>
      <c r="J2" s="63"/>
      <c r="K2" s="63"/>
      <c r="L2" s="63"/>
      <c r="M2" s="63"/>
      <c r="N2" s="63"/>
      <c r="O2" s="63"/>
      <c r="P2" s="63"/>
      <c r="Q2" s="63"/>
      <c r="R2" s="63"/>
      <c r="S2" s="63"/>
      <c r="T2" s="63"/>
      <c r="U2" s="63"/>
      <c r="V2" s="63"/>
      <c r="W2" s="63"/>
      <c r="X2" s="63"/>
      <c r="Y2" s="63"/>
      <c r="Z2" s="63"/>
    </row>
    <row r="3" spans="1:26" ht="13" thickBot="1" x14ac:dyDescent="0.45">
      <c r="A3" s="63"/>
      <c r="B3" s="63"/>
      <c r="C3" s="63"/>
      <c r="D3" s="63"/>
      <c r="E3" s="63"/>
      <c r="F3" s="63"/>
      <c r="G3" s="63"/>
      <c r="H3" s="63"/>
      <c r="I3" s="63"/>
      <c r="J3" s="63"/>
      <c r="K3" s="63"/>
      <c r="L3" s="63"/>
      <c r="M3" s="63"/>
      <c r="N3" s="63"/>
      <c r="O3" s="63"/>
      <c r="P3" s="63"/>
      <c r="Q3" s="63"/>
      <c r="R3" s="63"/>
      <c r="S3" s="63"/>
      <c r="T3" s="63"/>
      <c r="U3" s="63"/>
      <c r="V3" s="63"/>
      <c r="W3" s="63"/>
      <c r="X3" s="63"/>
      <c r="Y3" s="63"/>
      <c r="Z3" s="63"/>
    </row>
    <row r="4" spans="1:26" ht="13.35" thickBot="1" x14ac:dyDescent="0.5">
      <c r="A4" s="229" t="s">
        <v>595</v>
      </c>
      <c r="B4" s="327"/>
      <c r="C4" s="68" t="s">
        <v>610</v>
      </c>
      <c r="D4" s="330"/>
      <c r="E4" s="331"/>
      <c r="F4" s="332"/>
      <c r="G4" s="63"/>
      <c r="H4" s="63"/>
      <c r="I4" s="63"/>
      <c r="J4" s="63"/>
      <c r="K4" s="63"/>
      <c r="L4" s="63"/>
      <c r="M4" s="63"/>
      <c r="N4" s="63"/>
      <c r="O4" s="63"/>
      <c r="P4" s="63"/>
      <c r="Q4" s="63"/>
      <c r="R4" s="63"/>
      <c r="S4" s="63"/>
      <c r="T4" s="63"/>
      <c r="U4" s="63"/>
      <c r="V4" s="63"/>
      <c r="W4" s="63"/>
      <c r="X4" s="63"/>
      <c r="Y4" s="63"/>
      <c r="Z4" s="63"/>
    </row>
    <row r="5" spans="1:26" ht="15" customHeight="1" x14ac:dyDescent="0.4">
      <c r="A5" s="323" t="s">
        <v>596</v>
      </c>
      <c r="B5" s="324"/>
      <c r="C5" s="328" t="s">
        <v>611</v>
      </c>
      <c r="D5" s="333"/>
      <c r="E5" s="333"/>
      <c r="F5" s="334"/>
      <c r="G5" s="63"/>
      <c r="H5" s="63"/>
      <c r="I5" s="63"/>
      <c r="J5" s="63"/>
      <c r="K5" s="63"/>
      <c r="L5" s="63"/>
      <c r="M5" s="63"/>
      <c r="N5" s="63"/>
      <c r="O5" s="63"/>
      <c r="P5" s="63"/>
      <c r="Q5" s="63"/>
      <c r="R5" s="63"/>
      <c r="S5" s="63"/>
      <c r="T5" s="63"/>
      <c r="U5" s="63"/>
      <c r="V5" s="63"/>
      <c r="W5" s="63"/>
      <c r="X5" s="63"/>
      <c r="Y5" s="63"/>
      <c r="Z5" s="63"/>
    </row>
    <row r="6" spans="1:26" ht="12.75" customHeight="1" x14ac:dyDescent="0.4">
      <c r="A6" s="325"/>
      <c r="B6" s="326"/>
      <c r="C6" s="329"/>
      <c r="D6" s="321"/>
      <c r="E6" s="321"/>
      <c r="F6" s="322"/>
      <c r="G6" s="63"/>
      <c r="H6" s="63"/>
      <c r="I6" s="63"/>
      <c r="J6" s="63"/>
      <c r="K6" s="63"/>
      <c r="L6" s="63"/>
      <c r="M6" s="63"/>
      <c r="N6" s="63"/>
      <c r="O6" s="63"/>
      <c r="P6" s="63"/>
      <c r="Q6" s="63"/>
      <c r="R6" s="63"/>
      <c r="S6" s="63"/>
      <c r="T6" s="63"/>
      <c r="U6" s="63"/>
      <c r="V6" s="63"/>
      <c r="W6" s="63"/>
      <c r="X6" s="63"/>
      <c r="Y6" s="63"/>
      <c r="Z6" s="63"/>
    </row>
    <row r="7" spans="1:26" ht="12.75" customHeight="1" x14ac:dyDescent="0.4">
      <c r="A7" s="325" t="s">
        <v>597</v>
      </c>
      <c r="B7" s="326"/>
      <c r="C7" s="329" t="s">
        <v>612</v>
      </c>
      <c r="D7" s="319"/>
      <c r="E7" s="319"/>
      <c r="F7" s="320"/>
      <c r="G7" s="63"/>
      <c r="H7" s="63"/>
      <c r="I7" s="63"/>
      <c r="J7" s="63"/>
      <c r="K7" s="63"/>
      <c r="L7" s="63"/>
      <c r="M7" s="63"/>
      <c r="N7" s="63"/>
      <c r="O7" s="63"/>
      <c r="P7" s="63"/>
      <c r="Q7" s="63"/>
      <c r="R7" s="63"/>
      <c r="S7" s="63"/>
      <c r="T7" s="63"/>
      <c r="U7" s="63"/>
      <c r="V7" s="63"/>
      <c r="W7" s="63"/>
      <c r="X7" s="63"/>
      <c r="Y7" s="63"/>
      <c r="Z7" s="63"/>
    </row>
    <row r="8" spans="1:26" ht="12.75" customHeight="1" x14ac:dyDescent="0.4">
      <c r="A8" s="325"/>
      <c r="B8" s="326"/>
      <c r="C8" s="329"/>
      <c r="D8" s="321"/>
      <c r="E8" s="321"/>
      <c r="F8" s="322"/>
      <c r="G8" s="63"/>
      <c r="H8" s="63"/>
      <c r="I8" s="63"/>
      <c r="J8" s="63"/>
      <c r="K8" s="63"/>
      <c r="L8" s="63"/>
      <c r="M8" s="63"/>
      <c r="N8" s="63"/>
      <c r="O8" s="63"/>
      <c r="P8" s="63"/>
      <c r="Q8" s="63"/>
      <c r="R8" s="63"/>
      <c r="S8" s="63"/>
      <c r="T8" s="63"/>
      <c r="U8" s="63"/>
      <c r="V8" s="63"/>
      <c r="W8" s="63"/>
      <c r="X8" s="63"/>
      <c r="Y8" s="63"/>
      <c r="Z8" s="63"/>
    </row>
    <row r="9" spans="1:26" ht="12.75" customHeight="1" x14ac:dyDescent="0.4">
      <c r="A9" s="325" t="s">
        <v>598</v>
      </c>
      <c r="B9" s="326"/>
      <c r="C9" s="329" t="s">
        <v>613</v>
      </c>
      <c r="D9" s="319"/>
      <c r="E9" s="319"/>
      <c r="F9" s="320"/>
      <c r="G9" s="63"/>
      <c r="H9" s="63"/>
      <c r="I9" s="63"/>
      <c r="J9" s="63"/>
      <c r="K9" s="63"/>
      <c r="L9" s="63"/>
      <c r="M9" s="63"/>
      <c r="N9" s="63"/>
      <c r="O9" s="63"/>
      <c r="P9" s="63"/>
      <c r="Q9" s="63"/>
      <c r="R9" s="63"/>
      <c r="S9" s="63"/>
      <c r="T9" s="63"/>
      <c r="U9" s="63"/>
      <c r="V9" s="63"/>
      <c r="W9" s="63"/>
      <c r="X9" s="63"/>
      <c r="Y9" s="63"/>
      <c r="Z9" s="63"/>
    </row>
    <row r="10" spans="1:26" ht="12.75" customHeight="1" x14ac:dyDescent="0.4">
      <c r="A10" s="325"/>
      <c r="B10" s="326"/>
      <c r="C10" s="329"/>
      <c r="D10" s="321"/>
      <c r="E10" s="321"/>
      <c r="F10" s="322"/>
      <c r="G10" s="63"/>
      <c r="H10" s="63"/>
      <c r="I10" s="63"/>
      <c r="J10" s="63"/>
      <c r="K10" s="63"/>
      <c r="L10" s="63"/>
      <c r="M10" s="63"/>
      <c r="N10" s="63"/>
      <c r="O10" s="63"/>
      <c r="P10" s="63"/>
      <c r="Q10" s="63"/>
      <c r="R10" s="63"/>
      <c r="S10" s="63"/>
      <c r="T10" s="63"/>
      <c r="U10" s="63"/>
      <c r="V10" s="63"/>
      <c r="W10" s="63"/>
      <c r="X10" s="63"/>
      <c r="Y10" s="63"/>
      <c r="Z10" s="63"/>
    </row>
    <row r="11" spans="1:26" ht="12.75" customHeight="1" x14ac:dyDescent="0.4">
      <c r="A11" s="325" t="s">
        <v>599</v>
      </c>
      <c r="B11" s="326"/>
      <c r="C11" s="329" t="s">
        <v>614</v>
      </c>
      <c r="D11" s="319"/>
      <c r="E11" s="319"/>
      <c r="F11" s="320"/>
      <c r="G11" s="63"/>
      <c r="H11" s="63"/>
      <c r="I11" s="63"/>
      <c r="J11" s="63"/>
      <c r="K11" s="63"/>
      <c r="L11" s="63"/>
      <c r="M11" s="63"/>
      <c r="N11" s="63"/>
      <c r="O11" s="63"/>
      <c r="P11" s="63"/>
      <c r="Q11" s="63"/>
      <c r="R11" s="63"/>
      <c r="S11" s="63"/>
      <c r="T11" s="63"/>
      <c r="U11" s="63"/>
      <c r="V11" s="63"/>
      <c r="W11" s="63"/>
      <c r="X11" s="63"/>
      <c r="Y11" s="63"/>
      <c r="Z11" s="63"/>
    </row>
    <row r="12" spans="1:26" ht="12.75" customHeight="1" x14ac:dyDescent="0.4">
      <c r="A12" s="325"/>
      <c r="B12" s="326"/>
      <c r="C12" s="329"/>
      <c r="D12" s="321"/>
      <c r="E12" s="321"/>
      <c r="F12" s="322"/>
      <c r="G12" s="63"/>
      <c r="H12" s="63"/>
      <c r="I12" s="63"/>
      <c r="J12" s="63"/>
      <c r="K12" s="63"/>
      <c r="L12" s="63"/>
      <c r="M12" s="63"/>
      <c r="N12" s="63"/>
      <c r="O12" s="63"/>
      <c r="P12" s="63"/>
      <c r="Q12" s="63"/>
      <c r="R12" s="63"/>
      <c r="S12" s="63"/>
      <c r="T12" s="63"/>
      <c r="U12" s="63"/>
      <c r="V12" s="63"/>
      <c r="W12" s="63"/>
      <c r="X12" s="63"/>
      <c r="Y12" s="63"/>
      <c r="Z12" s="63"/>
    </row>
    <row r="13" spans="1:26" ht="12.75" customHeight="1" x14ac:dyDescent="0.4">
      <c r="A13" s="325" t="s">
        <v>600</v>
      </c>
      <c r="B13" s="326"/>
      <c r="C13" s="329" t="s">
        <v>611</v>
      </c>
      <c r="D13" s="319"/>
      <c r="E13" s="319"/>
      <c r="F13" s="320"/>
      <c r="G13" s="63"/>
      <c r="H13" s="63"/>
      <c r="I13" s="63"/>
      <c r="J13" s="63"/>
      <c r="K13" s="63"/>
      <c r="L13" s="63"/>
      <c r="M13" s="63"/>
      <c r="N13" s="63"/>
      <c r="O13" s="63"/>
      <c r="P13" s="63"/>
      <c r="Q13" s="63"/>
      <c r="R13" s="63"/>
      <c r="S13" s="63"/>
      <c r="T13" s="63"/>
      <c r="U13" s="63"/>
      <c r="V13" s="63"/>
      <c r="W13" s="63"/>
      <c r="X13" s="63"/>
      <c r="Y13" s="63"/>
      <c r="Z13" s="63"/>
    </row>
    <row r="14" spans="1:26" ht="12.75" customHeight="1" x14ac:dyDescent="0.4">
      <c r="A14" s="325"/>
      <c r="B14" s="326"/>
      <c r="C14" s="329"/>
      <c r="D14" s="321"/>
      <c r="E14" s="321"/>
      <c r="F14" s="322"/>
      <c r="G14" s="63"/>
      <c r="H14" s="63"/>
      <c r="I14" s="63"/>
      <c r="J14" s="63"/>
      <c r="K14" s="63"/>
      <c r="L14" s="63"/>
      <c r="M14" s="63"/>
      <c r="N14" s="63"/>
      <c r="O14" s="63"/>
      <c r="P14" s="63"/>
      <c r="Q14" s="63"/>
      <c r="R14" s="63"/>
      <c r="S14" s="63"/>
      <c r="T14" s="63"/>
      <c r="U14" s="63"/>
      <c r="V14" s="63"/>
      <c r="W14" s="63"/>
      <c r="X14" s="63"/>
      <c r="Y14" s="63"/>
      <c r="Z14" s="63"/>
    </row>
    <row r="15" spans="1:26" ht="12.75" customHeight="1" x14ac:dyDescent="0.4">
      <c r="A15" s="325" t="s">
        <v>601</v>
      </c>
      <c r="B15" s="326"/>
      <c r="C15" s="329" t="s">
        <v>615</v>
      </c>
      <c r="D15" s="319"/>
      <c r="E15" s="319"/>
      <c r="F15" s="320"/>
      <c r="G15" s="63"/>
      <c r="H15" s="63"/>
      <c r="I15" s="63"/>
      <c r="J15" s="63"/>
      <c r="K15" s="63"/>
      <c r="L15" s="63"/>
      <c r="M15" s="63"/>
      <c r="N15" s="63"/>
      <c r="O15" s="63"/>
      <c r="P15" s="63"/>
      <c r="Q15" s="63"/>
      <c r="R15" s="63"/>
      <c r="S15" s="63"/>
      <c r="T15" s="63"/>
      <c r="U15" s="63"/>
      <c r="V15" s="63"/>
      <c r="W15" s="63"/>
      <c r="X15" s="63"/>
      <c r="Y15" s="63"/>
      <c r="Z15" s="63"/>
    </row>
    <row r="16" spans="1:26" ht="12.75" customHeight="1" x14ac:dyDescent="0.4">
      <c r="A16" s="325"/>
      <c r="B16" s="326"/>
      <c r="C16" s="329"/>
      <c r="D16" s="321"/>
      <c r="E16" s="321"/>
      <c r="F16" s="322"/>
      <c r="G16" s="63"/>
      <c r="H16" s="63"/>
      <c r="I16" s="63"/>
      <c r="J16" s="63"/>
      <c r="K16" s="63"/>
      <c r="L16" s="63"/>
      <c r="M16" s="63"/>
      <c r="N16" s="63"/>
      <c r="O16" s="63"/>
      <c r="P16" s="63"/>
      <c r="Q16" s="63"/>
      <c r="R16" s="63"/>
      <c r="S16" s="63"/>
      <c r="T16" s="63"/>
      <c r="U16" s="63"/>
      <c r="V16" s="63"/>
      <c r="W16" s="63"/>
      <c r="X16" s="63"/>
      <c r="Y16" s="63"/>
      <c r="Z16" s="63"/>
    </row>
    <row r="17" spans="1:26" ht="12.75" customHeight="1" x14ac:dyDescent="0.4">
      <c r="A17" s="325" t="s">
        <v>602</v>
      </c>
      <c r="B17" s="326"/>
      <c r="C17" s="329" t="s">
        <v>614</v>
      </c>
      <c r="D17" s="319"/>
      <c r="E17" s="319"/>
      <c r="F17" s="320"/>
      <c r="G17" s="63"/>
      <c r="H17" s="63"/>
      <c r="I17" s="63"/>
      <c r="J17" s="63"/>
      <c r="K17" s="63"/>
      <c r="L17" s="63"/>
      <c r="M17" s="63"/>
      <c r="N17" s="63"/>
      <c r="O17" s="63"/>
      <c r="P17" s="63"/>
      <c r="Q17" s="63"/>
      <c r="R17" s="63"/>
      <c r="S17" s="63"/>
      <c r="T17" s="63"/>
      <c r="U17" s="63"/>
      <c r="V17" s="63"/>
      <c r="W17" s="63"/>
      <c r="X17" s="63"/>
      <c r="Y17" s="63"/>
      <c r="Z17" s="63"/>
    </row>
    <row r="18" spans="1:26" ht="12.75" customHeight="1" x14ac:dyDescent="0.4">
      <c r="A18" s="325"/>
      <c r="B18" s="326"/>
      <c r="C18" s="329"/>
      <c r="D18" s="321"/>
      <c r="E18" s="321"/>
      <c r="F18" s="322"/>
      <c r="G18" s="63"/>
      <c r="H18" s="63"/>
      <c r="I18" s="63"/>
      <c r="J18" s="63"/>
      <c r="K18" s="63"/>
      <c r="L18" s="63"/>
      <c r="M18" s="63"/>
      <c r="N18" s="63"/>
      <c r="O18" s="63"/>
      <c r="P18" s="63"/>
      <c r="Q18" s="63"/>
      <c r="R18" s="63"/>
      <c r="S18" s="63"/>
      <c r="T18" s="63"/>
      <c r="U18" s="63"/>
      <c r="V18" s="63"/>
      <c r="W18" s="63"/>
      <c r="X18" s="63"/>
      <c r="Y18" s="63"/>
      <c r="Z18" s="63"/>
    </row>
    <row r="19" spans="1:26" ht="12.75" customHeight="1" x14ac:dyDescent="0.4">
      <c r="A19" s="325" t="s">
        <v>603</v>
      </c>
      <c r="B19" s="326"/>
      <c r="C19" s="329" t="s">
        <v>613</v>
      </c>
      <c r="D19" s="319"/>
      <c r="E19" s="319"/>
      <c r="F19" s="320"/>
      <c r="G19" s="63"/>
      <c r="H19" s="63"/>
      <c r="I19" s="63"/>
      <c r="J19" s="63"/>
      <c r="K19" s="63"/>
      <c r="L19" s="63"/>
      <c r="M19" s="63"/>
      <c r="N19" s="63"/>
      <c r="O19" s="63"/>
      <c r="P19" s="63"/>
      <c r="Q19" s="63"/>
      <c r="R19" s="63"/>
      <c r="S19" s="63"/>
      <c r="T19" s="63"/>
      <c r="U19" s="63"/>
      <c r="V19" s="63"/>
      <c r="W19" s="63"/>
      <c r="X19" s="63"/>
      <c r="Y19" s="63"/>
      <c r="Z19" s="63"/>
    </row>
    <row r="20" spans="1:26" ht="12.75" customHeight="1" x14ac:dyDescent="0.4">
      <c r="A20" s="335"/>
      <c r="B20" s="336"/>
      <c r="C20" s="329"/>
      <c r="D20" s="321"/>
      <c r="E20" s="321"/>
      <c r="F20" s="322"/>
      <c r="G20" s="63"/>
      <c r="H20" s="63"/>
      <c r="I20" s="64"/>
      <c r="J20" s="63"/>
      <c r="K20" s="63"/>
      <c r="L20" s="63"/>
      <c r="M20" s="63"/>
      <c r="N20" s="63"/>
      <c r="O20" s="63"/>
      <c r="P20" s="63"/>
      <c r="Q20" s="63"/>
      <c r="R20" s="63"/>
      <c r="S20" s="63"/>
      <c r="T20" s="63"/>
      <c r="U20" s="63"/>
      <c r="V20" s="63"/>
      <c r="W20" s="63"/>
      <c r="X20" s="63"/>
      <c r="Y20" s="63"/>
      <c r="Z20" s="63"/>
    </row>
    <row r="21" spans="1:26" ht="12.75" customHeight="1" x14ac:dyDescent="0.4">
      <c r="A21" s="337" t="s">
        <v>604</v>
      </c>
      <c r="B21" s="338"/>
      <c r="C21" s="329" t="s">
        <v>616</v>
      </c>
      <c r="D21" s="319"/>
      <c r="E21" s="319"/>
      <c r="F21" s="320"/>
      <c r="G21" s="63"/>
      <c r="H21" s="63"/>
      <c r="I21" s="64"/>
      <c r="J21" s="63"/>
      <c r="K21" s="63"/>
      <c r="L21" s="63"/>
      <c r="M21" s="63"/>
      <c r="N21" s="63"/>
      <c r="O21" s="63"/>
      <c r="P21" s="63"/>
      <c r="Q21" s="63"/>
      <c r="R21" s="63"/>
      <c r="S21" s="63"/>
      <c r="T21" s="63"/>
      <c r="U21" s="63"/>
      <c r="V21" s="63"/>
      <c r="W21" s="63"/>
      <c r="X21" s="63"/>
      <c r="Y21" s="63"/>
      <c r="Z21" s="63"/>
    </row>
    <row r="22" spans="1:26" ht="12.75" customHeight="1" x14ac:dyDescent="0.4">
      <c r="A22" s="339"/>
      <c r="B22" s="340"/>
      <c r="C22" s="329"/>
      <c r="D22" s="321"/>
      <c r="E22" s="321"/>
      <c r="F22" s="322"/>
      <c r="G22" s="63"/>
      <c r="H22" s="63"/>
      <c r="I22" s="64"/>
      <c r="J22" s="63"/>
      <c r="K22" s="63"/>
      <c r="L22" s="63"/>
      <c r="M22" s="63"/>
      <c r="N22" s="63"/>
      <c r="O22" s="63"/>
      <c r="P22" s="63"/>
      <c r="Q22" s="63"/>
      <c r="R22" s="63"/>
      <c r="S22" s="63"/>
      <c r="T22" s="63"/>
      <c r="U22" s="63"/>
      <c r="V22" s="63"/>
      <c r="W22" s="63"/>
      <c r="X22" s="63"/>
      <c r="Y22" s="63"/>
      <c r="Z22" s="63"/>
    </row>
    <row r="23" spans="1:26" ht="12.75" customHeight="1" x14ac:dyDescent="0.4">
      <c r="A23" s="337" t="s">
        <v>605</v>
      </c>
      <c r="B23" s="338"/>
      <c r="C23" s="329" t="s">
        <v>617</v>
      </c>
      <c r="D23" s="319"/>
      <c r="E23" s="319"/>
      <c r="F23" s="320"/>
      <c r="G23" s="63"/>
      <c r="H23" s="63"/>
      <c r="I23" s="64"/>
      <c r="J23" s="63"/>
      <c r="K23" s="63"/>
      <c r="L23" s="63"/>
      <c r="M23" s="63"/>
      <c r="N23" s="63"/>
      <c r="O23" s="63"/>
      <c r="P23" s="63"/>
      <c r="Q23" s="63"/>
      <c r="R23" s="63"/>
      <c r="S23" s="63"/>
      <c r="T23" s="63"/>
      <c r="U23" s="63"/>
      <c r="V23" s="63"/>
      <c r="W23" s="63"/>
      <c r="X23" s="63"/>
      <c r="Y23" s="63"/>
      <c r="Z23" s="63"/>
    </row>
    <row r="24" spans="1:26" ht="15" customHeight="1" x14ac:dyDescent="0.4">
      <c r="A24" s="339"/>
      <c r="B24" s="340"/>
      <c r="C24" s="329"/>
      <c r="D24" s="321"/>
      <c r="E24" s="321"/>
      <c r="F24" s="322"/>
      <c r="G24" s="63"/>
      <c r="H24" s="63"/>
      <c r="I24" s="64"/>
      <c r="J24" s="64"/>
      <c r="K24" s="63"/>
      <c r="L24" s="63"/>
      <c r="M24" s="63"/>
      <c r="N24" s="63"/>
      <c r="O24" s="63"/>
      <c r="P24" s="63"/>
      <c r="Q24" s="63"/>
      <c r="R24" s="63"/>
      <c r="S24" s="63"/>
      <c r="T24" s="63"/>
      <c r="U24" s="63"/>
      <c r="V24" s="63"/>
      <c r="W24" s="63"/>
      <c r="X24" s="63"/>
      <c r="Y24" s="63"/>
      <c r="Z24" s="63"/>
    </row>
    <row r="25" spans="1:26" ht="15" customHeight="1" x14ac:dyDescent="0.4">
      <c r="A25" s="337" t="s">
        <v>606</v>
      </c>
      <c r="B25" s="338"/>
      <c r="C25" s="329" t="s">
        <v>612</v>
      </c>
      <c r="D25" s="319"/>
      <c r="E25" s="319"/>
      <c r="F25" s="320"/>
      <c r="G25" s="63"/>
      <c r="H25" s="63"/>
      <c r="I25" s="64"/>
      <c r="J25" s="64"/>
      <c r="K25" s="63"/>
      <c r="L25" s="63"/>
      <c r="M25" s="63"/>
      <c r="N25" s="63"/>
      <c r="O25" s="63"/>
      <c r="P25" s="63"/>
      <c r="Q25" s="63"/>
      <c r="R25" s="63"/>
      <c r="S25" s="63"/>
      <c r="T25" s="63"/>
      <c r="U25" s="63"/>
      <c r="V25" s="63"/>
      <c r="W25" s="63"/>
      <c r="X25" s="63"/>
      <c r="Y25" s="63"/>
      <c r="Z25" s="63"/>
    </row>
    <row r="26" spans="1:26" ht="12.75" customHeight="1" x14ac:dyDescent="0.4">
      <c r="A26" s="339"/>
      <c r="B26" s="340"/>
      <c r="C26" s="329"/>
      <c r="D26" s="321"/>
      <c r="E26" s="321"/>
      <c r="F26" s="322"/>
      <c r="G26" s="63"/>
      <c r="H26" s="63"/>
      <c r="I26" s="63"/>
      <c r="J26" s="63"/>
      <c r="K26" s="63"/>
      <c r="L26" s="63"/>
      <c r="M26" s="63"/>
      <c r="N26" s="63"/>
      <c r="O26" s="63"/>
      <c r="P26" s="63"/>
      <c r="Q26" s="63"/>
      <c r="R26" s="63"/>
      <c r="S26" s="63"/>
      <c r="T26" s="63"/>
      <c r="U26" s="63"/>
      <c r="V26" s="63"/>
      <c r="W26" s="63"/>
      <c r="X26" s="63"/>
      <c r="Y26" s="63"/>
      <c r="Z26" s="63"/>
    </row>
    <row r="27" spans="1:26" ht="12.75" customHeight="1" x14ac:dyDescent="0.4">
      <c r="A27" s="325" t="s">
        <v>607</v>
      </c>
      <c r="B27" s="326"/>
      <c r="C27" s="329" t="s">
        <v>612</v>
      </c>
      <c r="D27" s="319"/>
      <c r="E27" s="319"/>
      <c r="F27" s="320"/>
      <c r="G27" s="63"/>
      <c r="H27" s="63"/>
      <c r="I27" s="63"/>
      <c r="J27" s="63"/>
      <c r="K27" s="63"/>
      <c r="L27" s="63"/>
      <c r="M27" s="63"/>
      <c r="N27" s="63"/>
      <c r="O27" s="63"/>
      <c r="P27" s="63"/>
      <c r="Q27" s="63"/>
      <c r="R27" s="63"/>
      <c r="S27" s="63"/>
      <c r="T27" s="63"/>
      <c r="U27" s="63"/>
      <c r="V27" s="63"/>
      <c r="W27" s="63"/>
      <c r="X27" s="63"/>
      <c r="Y27" s="63"/>
      <c r="Z27" s="63"/>
    </row>
    <row r="28" spans="1:26" ht="12.75" customHeight="1" x14ac:dyDescent="0.4">
      <c r="A28" s="335"/>
      <c r="B28" s="336"/>
      <c r="C28" s="329"/>
      <c r="D28" s="321"/>
      <c r="E28" s="321"/>
      <c r="F28" s="322"/>
      <c r="G28" s="63"/>
      <c r="H28" s="63"/>
      <c r="I28" s="63"/>
      <c r="J28" s="63"/>
      <c r="K28" s="63"/>
      <c r="L28" s="63"/>
      <c r="M28" s="63"/>
      <c r="N28" s="63"/>
      <c r="O28" s="63"/>
      <c r="P28" s="63"/>
      <c r="Q28" s="63"/>
      <c r="R28" s="63"/>
      <c r="S28" s="63"/>
      <c r="T28" s="63"/>
      <c r="U28" s="63"/>
      <c r="V28" s="63"/>
      <c r="W28" s="63"/>
      <c r="X28" s="63"/>
      <c r="Y28" s="63"/>
      <c r="Z28" s="63"/>
    </row>
    <row r="29" spans="1:26" ht="12.75" customHeight="1" x14ac:dyDescent="0.4">
      <c r="A29" s="325" t="s">
        <v>608</v>
      </c>
      <c r="B29" s="326"/>
      <c r="C29" s="329" t="s">
        <v>612</v>
      </c>
      <c r="D29" s="319"/>
      <c r="E29" s="319"/>
      <c r="F29" s="320"/>
      <c r="G29" s="63"/>
      <c r="H29" s="63"/>
      <c r="I29" s="63"/>
      <c r="J29" s="63"/>
      <c r="K29" s="63"/>
      <c r="L29" s="63"/>
      <c r="M29" s="63"/>
      <c r="N29" s="63"/>
      <c r="O29" s="63"/>
      <c r="P29" s="63"/>
      <c r="Q29" s="63"/>
      <c r="R29" s="63"/>
      <c r="S29" s="63"/>
      <c r="T29" s="63"/>
      <c r="U29" s="63"/>
      <c r="V29" s="63"/>
      <c r="W29" s="63"/>
      <c r="X29" s="63"/>
      <c r="Y29" s="63"/>
      <c r="Z29" s="63"/>
    </row>
    <row r="30" spans="1:26" ht="12.75" customHeight="1" x14ac:dyDescent="0.4">
      <c r="A30" s="335"/>
      <c r="B30" s="336"/>
      <c r="C30" s="329"/>
      <c r="D30" s="321"/>
      <c r="E30" s="321"/>
      <c r="F30" s="322"/>
      <c r="G30" s="63"/>
      <c r="H30" s="63"/>
      <c r="I30" s="63"/>
      <c r="J30" s="63"/>
      <c r="K30" s="63"/>
      <c r="L30" s="63"/>
      <c r="M30" s="63"/>
      <c r="N30" s="63"/>
      <c r="O30" s="63"/>
      <c r="P30" s="63"/>
      <c r="Q30" s="63"/>
      <c r="R30" s="63"/>
      <c r="S30" s="63"/>
      <c r="T30" s="63"/>
      <c r="U30" s="63"/>
      <c r="V30" s="63"/>
      <c r="W30" s="63"/>
      <c r="X30" s="63"/>
      <c r="Y30" s="63"/>
      <c r="Z30" s="63"/>
    </row>
    <row r="31" spans="1:26" ht="12.75" customHeight="1" x14ac:dyDescent="0.4">
      <c r="A31" s="325" t="s">
        <v>609</v>
      </c>
      <c r="B31" s="326"/>
      <c r="C31" s="329" t="s">
        <v>612</v>
      </c>
      <c r="D31" s="319"/>
      <c r="E31" s="319"/>
      <c r="F31" s="320"/>
      <c r="G31" s="63"/>
      <c r="H31" s="63"/>
      <c r="I31" s="63"/>
      <c r="J31" s="63"/>
      <c r="K31" s="63"/>
      <c r="L31" s="63"/>
      <c r="M31" s="63"/>
      <c r="N31" s="63"/>
      <c r="O31" s="63"/>
      <c r="P31" s="63"/>
      <c r="Q31" s="63"/>
      <c r="R31" s="63"/>
      <c r="S31" s="63"/>
      <c r="T31" s="63"/>
      <c r="U31" s="63"/>
      <c r="V31" s="63"/>
      <c r="W31" s="63"/>
      <c r="X31" s="63"/>
      <c r="Y31" s="63"/>
      <c r="Z31" s="63"/>
    </row>
    <row r="32" spans="1:26" ht="12.75" customHeight="1" thickBot="1" x14ac:dyDescent="0.45">
      <c r="A32" s="341"/>
      <c r="B32" s="342"/>
      <c r="C32" s="343"/>
      <c r="D32" s="344"/>
      <c r="E32" s="344"/>
      <c r="F32" s="345"/>
      <c r="G32" s="63"/>
      <c r="H32" s="63"/>
      <c r="I32" s="63"/>
      <c r="J32" s="63"/>
      <c r="K32" s="63"/>
      <c r="L32" s="63"/>
      <c r="M32" s="63"/>
      <c r="N32" s="63"/>
      <c r="O32" s="63"/>
      <c r="P32" s="63"/>
      <c r="Q32" s="63"/>
      <c r="R32" s="63"/>
      <c r="S32" s="63"/>
      <c r="T32" s="63"/>
      <c r="U32" s="63"/>
      <c r="V32" s="63"/>
      <c r="W32" s="63"/>
      <c r="X32" s="63"/>
      <c r="Y32" s="63"/>
      <c r="Z32" s="63"/>
    </row>
    <row r="33" spans="5:26" x14ac:dyDescent="0.4">
      <c r="E33" s="63"/>
      <c r="F33" s="63"/>
      <c r="G33" s="63"/>
      <c r="H33" s="63"/>
      <c r="I33" s="63"/>
      <c r="J33" s="63"/>
      <c r="K33" s="63"/>
      <c r="L33" s="63"/>
      <c r="M33" s="63"/>
      <c r="N33" s="63"/>
      <c r="O33" s="63"/>
      <c r="P33" s="63"/>
      <c r="Q33" s="63"/>
      <c r="R33" s="63"/>
      <c r="S33" s="63"/>
      <c r="T33" s="63"/>
      <c r="U33" s="63"/>
      <c r="V33" s="63"/>
      <c r="W33" s="63"/>
      <c r="X33" s="63"/>
      <c r="Y33" s="63"/>
      <c r="Z33" s="63"/>
    </row>
    <row r="34" spans="5:26" x14ac:dyDescent="0.4">
      <c r="E34" s="63"/>
      <c r="F34" s="63"/>
      <c r="G34" s="63"/>
      <c r="H34" s="63"/>
      <c r="I34" s="63"/>
      <c r="J34" s="63"/>
      <c r="K34" s="63"/>
      <c r="L34" s="63"/>
      <c r="M34" s="63"/>
      <c r="N34" s="63"/>
      <c r="O34" s="63"/>
      <c r="P34" s="63"/>
      <c r="Q34" s="63"/>
      <c r="R34" s="63"/>
      <c r="S34" s="63"/>
      <c r="T34" s="63"/>
      <c r="U34" s="63"/>
      <c r="V34" s="63"/>
      <c r="W34" s="63"/>
      <c r="X34" s="63"/>
      <c r="Y34" s="63"/>
      <c r="Z34" s="63"/>
    </row>
    <row r="35" spans="5:26" x14ac:dyDescent="0.4">
      <c r="E35" s="63"/>
      <c r="F35" s="63"/>
      <c r="G35" s="63"/>
      <c r="H35" s="63"/>
      <c r="I35" s="63"/>
      <c r="J35" s="63"/>
      <c r="K35" s="63"/>
      <c r="L35" s="63"/>
      <c r="M35" s="63"/>
      <c r="N35" s="63"/>
      <c r="O35" s="63"/>
      <c r="P35" s="63"/>
      <c r="Q35" s="63"/>
      <c r="R35" s="63"/>
      <c r="S35" s="63"/>
      <c r="T35" s="63"/>
      <c r="U35" s="63"/>
      <c r="V35" s="63"/>
      <c r="W35" s="63"/>
      <c r="X35" s="63"/>
      <c r="Y35" s="63"/>
      <c r="Z35" s="63"/>
    </row>
    <row r="36" spans="5:26" x14ac:dyDescent="0.4">
      <c r="E36" s="63"/>
      <c r="F36" s="63"/>
      <c r="G36" s="63"/>
      <c r="H36" s="63"/>
      <c r="I36" s="63"/>
      <c r="J36" s="63"/>
      <c r="K36" s="63"/>
      <c r="L36" s="63"/>
      <c r="M36" s="63"/>
      <c r="N36" s="63"/>
      <c r="O36" s="63"/>
      <c r="P36" s="63"/>
      <c r="Q36" s="63"/>
      <c r="R36" s="63"/>
      <c r="S36" s="63"/>
      <c r="T36" s="63"/>
      <c r="U36" s="63"/>
      <c r="V36" s="63"/>
      <c r="W36" s="63"/>
      <c r="X36" s="63"/>
      <c r="Y36" s="63"/>
      <c r="Z36" s="63"/>
    </row>
    <row r="37" spans="5:26" x14ac:dyDescent="0.4">
      <c r="E37" s="63"/>
      <c r="F37" s="63"/>
      <c r="G37" s="63"/>
      <c r="H37" s="63"/>
      <c r="I37" s="63"/>
      <c r="J37" s="63"/>
      <c r="K37" s="63"/>
      <c r="L37" s="63"/>
      <c r="M37" s="63"/>
      <c r="N37" s="63"/>
      <c r="O37" s="63"/>
      <c r="P37" s="63"/>
      <c r="Q37" s="63"/>
      <c r="R37" s="63"/>
      <c r="S37" s="63"/>
      <c r="T37" s="63"/>
      <c r="U37" s="63"/>
      <c r="V37" s="63"/>
      <c r="W37" s="63"/>
      <c r="X37" s="63"/>
      <c r="Y37" s="63"/>
      <c r="Z37" s="63"/>
    </row>
    <row r="38" spans="5:26" x14ac:dyDescent="0.4">
      <c r="E38" s="63"/>
      <c r="F38" s="63"/>
      <c r="G38" s="63"/>
      <c r="H38" s="63"/>
      <c r="I38" s="63"/>
      <c r="J38" s="63"/>
      <c r="K38" s="63"/>
      <c r="L38" s="63"/>
      <c r="M38" s="63"/>
      <c r="N38" s="63"/>
      <c r="O38" s="63"/>
      <c r="P38" s="63"/>
      <c r="Q38" s="63"/>
      <c r="R38" s="63"/>
      <c r="S38" s="63"/>
      <c r="T38" s="63"/>
      <c r="U38" s="63"/>
      <c r="V38" s="63"/>
      <c r="W38" s="63"/>
      <c r="X38" s="63"/>
      <c r="Y38" s="63"/>
      <c r="Z38" s="63"/>
    </row>
    <row r="39" spans="5:26" x14ac:dyDescent="0.4">
      <c r="E39" s="63"/>
      <c r="F39" s="63"/>
      <c r="G39" s="63"/>
      <c r="H39" s="63"/>
      <c r="I39" s="63"/>
      <c r="J39" s="63"/>
      <c r="K39" s="63"/>
      <c r="L39" s="63"/>
      <c r="M39" s="63"/>
      <c r="N39" s="63"/>
      <c r="O39" s="63"/>
      <c r="P39" s="63"/>
      <c r="Q39" s="63"/>
      <c r="R39" s="63"/>
      <c r="S39" s="63"/>
      <c r="T39" s="63"/>
      <c r="U39" s="63"/>
      <c r="V39" s="63"/>
      <c r="W39" s="63"/>
      <c r="X39" s="63"/>
      <c r="Y39" s="63"/>
      <c r="Z39" s="63"/>
    </row>
    <row r="40" spans="5:26" x14ac:dyDescent="0.4">
      <c r="E40" s="63"/>
      <c r="F40" s="63"/>
      <c r="G40" s="63"/>
      <c r="H40" s="63"/>
      <c r="I40" s="63"/>
      <c r="J40" s="63"/>
      <c r="K40" s="63"/>
      <c r="L40" s="63"/>
      <c r="M40" s="63"/>
      <c r="N40" s="63"/>
      <c r="O40" s="63"/>
      <c r="P40" s="63"/>
      <c r="Q40" s="63"/>
      <c r="R40" s="63"/>
      <c r="S40" s="63"/>
      <c r="T40" s="63"/>
      <c r="U40" s="63"/>
      <c r="V40" s="63"/>
      <c r="W40" s="63"/>
      <c r="X40" s="63"/>
      <c r="Y40" s="63"/>
      <c r="Z40" s="63"/>
    </row>
    <row r="41" spans="5:26" x14ac:dyDescent="0.4">
      <c r="E41" s="63"/>
      <c r="F41" s="63"/>
      <c r="G41" s="63"/>
      <c r="H41" s="63"/>
      <c r="I41" s="63"/>
      <c r="J41" s="63"/>
      <c r="K41" s="63"/>
      <c r="L41" s="63"/>
      <c r="M41" s="63"/>
      <c r="N41" s="63"/>
      <c r="O41" s="63"/>
      <c r="P41" s="63"/>
      <c r="Q41" s="63"/>
      <c r="R41" s="63"/>
      <c r="S41" s="63"/>
      <c r="T41" s="63"/>
      <c r="U41" s="63"/>
      <c r="V41" s="63"/>
      <c r="W41" s="63"/>
      <c r="X41" s="63"/>
      <c r="Y41" s="63"/>
      <c r="Z41" s="63"/>
    </row>
    <row r="42" spans="5:26" x14ac:dyDescent="0.4">
      <c r="E42" s="63"/>
      <c r="F42" s="63"/>
      <c r="G42" s="63"/>
      <c r="H42" s="63"/>
      <c r="I42" s="63"/>
      <c r="J42" s="63"/>
      <c r="K42" s="63"/>
      <c r="L42" s="63"/>
      <c r="M42" s="63"/>
      <c r="N42" s="63"/>
      <c r="O42" s="63"/>
      <c r="P42" s="63"/>
      <c r="Q42" s="63"/>
      <c r="R42" s="63"/>
      <c r="S42" s="63"/>
      <c r="T42" s="63"/>
      <c r="U42" s="63"/>
      <c r="V42" s="63"/>
      <c r="W42" s="63"/>
      <c r="X42" s="63"/>
      <c r="Y42" s="63"/>
      <c r="Z42" s="63"/>
    </row>
    <row r="43" spans="5:26" x14ac:dyDescent="0.4">
      <c r="E43" s="63"/>
      <c r="F43" s="63"/>
      <c r="G43" s="63"/>
      <c r="H43" s="63"/>
      <c r="I43" s="63"/>
      <c r="J43" s="63"/>
      <c r="K43" s="63"/>
      <c r="L43" s="63"/>
      <c r="M43" s="63"/>
      <c r="N43" s="63"/>
      <c r="O43" s="63"/>
      <c r="P43" s="63"/>
      <c r="Q43" s="63"/>
      <c r="R43" s="63"/>
      <c r="S43" s="63"/>
      <c r="T43" s="63"/>
      <c r="U43" s="63"/>
      <c r="V43" s="63"/>
      <c r="W43" s="63"/>
      <c r="X43" s="63"/>
      <c r="Y43" s="63"/>
      <c r="Z43" s="63"/>
    </row>
    <row r="44" spans="5:26" x14ac:dyDescent="0.4">
      <c r="E44" s="63"/>
      <c r="F44" s="63"/>
      <c r="G44" s="63"/>
      <c r="H44" s="63"/>
      <c r="I44" s="63"/>
      <c r="J44" s="63"/>
      <c r="K44" s="63"/>
      <c r="L44" s="63"/>
      <c r="M44" s="63"/>
      <c r="N44" s="63"/>
      <c r="O44" s="63"/>
      <c r="P44" s="63"/>
      <c r="Q44" s="63"/>
      <c r="R44" s="63"/>
      <c r="S44" s="63"/>
      <c r="T44" s="63"/>
      <c r="U44" s="63"/>
      <c r="V44" s="63"/>
      <c r="W44" s="63"/>
      <c r="X44" s="63"/>
      <c r="Y44" s="63"/>
      <c r="Z44" s="63"/>
    </row>
    <row r="45" spans="5:26" x14ac:dyDescent="0.4">
      <c r="E45" s="63"/>
      <c r="F45" s="63"/>
      <c r="G45" s="63"/>
      <c r="H45" s="63"/>
      <c r="I45" s="63"/>
      <c r="J45" s="63"/>
      <c r="K45" s="63"/>
      <c r="L45" s="63"/>
      <c r="M45" s="63"/>
      <c r="N45" s="63"/>
      <c r="O45" s="63"/>
      <c r="P45" s="63"/>
      <c r="Q45" s="63"/>
      <c r="R45" s="63"/>
      <c r="S45" s="63"/>
      <c r="T45" s="63"/>
      <c r="U45" s="63"/>
      <c r="V45" s="63"/>
      <c r="W45" s="63"/>
      <c r="X45" s="63"/>
      <c r="Y45" s="63"/>
      <c r="Z45" s="63"/>
    </row>
    <row r="46" spans="5:26" x14ac:dyDescent="0.4">
      <c r="E46" s="63"/>
      <c r="F46" s="63"/>
      <c r="G46" s="63"/>
      <c r="H46" s="63"/>
      <c r="I46" s="63"/>
      <c r="J46" s="63"/>
      <c r="K46" s="63"/>
      <c r="L46" s="63"/>
      <c r="M46" s="63"/>
      <c r="N46" s="63"/>
      <c r="O46" s="63"/>
      <c r="P46" s="63"/>
      <c r="Q46" s="63"/>
      <c r="R46" s="63"/>
      <c r="S46" s="63"/>
      <c r="T46" s="63"/>
      <c r="U46" s="63"/>
      <c r="V46" s="63"/>
      <c r="W46" s="63"/>
      <c r="X46" s="63"/>
      <c r="Y46" s="63"/>
      <c r="Z46" s="63"/>
    </row>
    <row r="47" spans="5:26" x14ac:dyDescent="0.4">
      <c r="E47" s="63"/>
      <c r="F47" s="63"/>
      <c r="G47" s="63"/>
      <c r="H47" s="63"/>
      <c r="I47" s="63"/>
      <c r="J47" s="63"/>
      <c r="K47" s="63"/>
      <c r="L47" s="63"/>
      <c r="M47" s="63"/>
      <c r="N47" s="63"/>
      <c r="O47" s="63"/>
      <c r="P47" s="63"/>
      <c r="Q47" s="63"/>
      <c r="R47" s="63"/>
      <c r="S47" s="63"/>
      <c r="T47" s="63"/>
      <c r="U47" s="63"/>
      <c r="V47" s="63"/>
      <c r="W47" s="63"/>
      <c r="X47" s="63"/>
      <c r="Y47" s="63"/>
      <c r="Z47" s="63"/>
    </row>
    <row r="48" spans="5:26" x14ac:dyDescent="0.4">
      <c r="E48" s="63"/>
      <c r="F48" s="63"/>
      <c r="G48" s="63"/>
      <c r="H48" s="63"/>
      <c r="I48" s="63"/>
      <c r="J48" s="63"/>
      <c r="K48" s="63"/>
      <c r="L48" s="63"/>
      <c r="M48" s="63"/>
      <c r="N48" s="63"/>
      <c r="O48" s="63"/>
      <c r="P48" s="63"/>
      <c r="Q48" s="63"/>
      <c r="R48" s="63"/>
      <c r="S48" s="63"/>
      <c r="T48" s="63"/>
      <c r="U48" s="63"/>
      <c r="V48" s="63"/>
      <c r="W48" s="63"/>
      <c r="X48" s="63"/>
      <c r="Y48" s="63"/>
      <c r="Z48" s="63"/>
    </row>
    <row r="49" spans="5:26" x14ac:dyDescent="0.4">
      <c r="E49" s="63"/>
      <c r="F49" s="63"/>
      <c r="G49" s="63"/>
      <c r="H49" s="63"/>
      <c r="I49" s="63"/>
      <c r="J49" s="63"/>
      <c r="K49" s="63"/>
      <c r="L49" s="63"/>
      <c r="M49" s="63"/>
      <c r="N49" s="63"/>
      <c r="O49" s="63"/>
      <c r="P49" s="63"/>
      <c r="Q49" s="63"/>
      <c r="R49" s="63"/>
      <c r="S49" s="63"/>
      <c r="T49" s="63"/>
      <c r="U49" s="63"/>
      <c r="V49" s="63"/>
      <c r="W49" s="63"/>
      <c r="X49" s="63"/>
      <c r="Y49" s="63"/>
      <c r="Z49" s="63"/>
    </row>
    <row r="50" spans="5:26" x14ac:dyDescent="0.4">
      <c r="E50" s="63"/>
      <c r="F50" s="63"/>
      <c r="G50" s="63"/>
      <c r="H50" s="63"/>
      <c r="I50" s="63"/>
      <c r="J50" s="63"/>
      <c r="K50" s="63"/>
      <c r="L50" s="63"/>
      <c r="M50" s="63"/>
      <c r="N50" s="63"/>
      <c r="O50" s="63"/>
      <c r="P50" s="63"/>
      <c r="Q50" s="63"/>
      <c r="R50" s="63"/>
      <c r="S50" s="63"/>
      <c r="T50" s="63"/>
      <c r="U50" s="63"/>
      <c r="V50" s="63"/>
      <c r="W50" s="63"/>
      <c r="X50" s="63"/>
      <c r="Y50" s="63"/>
      <c r="Z50" s="63"/>
    </row>
    <row r="51" spans="5:26" x14ac:dyDescent="0.4">
      <c r="E51" s="63"/>
      <c r="F51" s="63"/>
      <c r="G51" s="63"/>
      <c r="H51" s="63"/>
      <c r="I51" s="63"/>
      <c r="J51" s="63"/>
      <c r="K51" s="63"/>
      <c r="L51" s="63"/>
      <c r="M51" s="63"/>
      <c r="N51" s="63"/>
      <c r="O51" s="63"/>
      <c r="P51" s="63"/>
      <c r="Q51" s="63"/>
      <c r="R51" s="63"/>
      <c r="S51" s="63"/>
      <c r="T51" s="63"/>
      <c r="U51" s="63"/>
      <c r="V51" s="63"/>
      <c r="W51" s="63"/>
      <c r="X51" s="63"/>
      <c r="Y51" s="63"/>
      <c r="Z51" s="63"/>
    </row>
    <row r="52" spans="5:26" x14ac:dyDescent="0.4">
      <c r="E52" s="63"/>
      <c r="F52" s="63"/>
      <c r="G52" s="63"/>
      <c r="H52" s="63"/>
      <c r="I52" s="63"/>
      <c r="J52" s="63"/>
      <c r="K52" s="63"/>
      <c r="L52" s="63"/>
      <c r="M52" s="63"/>
      <c r="N52" s="63"/>
      <c r="O52" s="63"/>
      <c r="P52" s="63"/>
      <c r="Q52" s="63"/>
      <c r="R52" s="63"/>
      <c r="S52" s="63"/>
      <c r="T52" s="63"/>
      <c r="U52" s="63"/>
      <c r="V52" s="63"/>
      <c r="W52" s="63"/>
      <c r="X52" s="63"/>
      <c r="Y52" s="63"/>
      <c r="Z52" s="63"/>
    </row>
    <row r="53" spans="5:26" x14ac:dyDescent="0.4">
      <c r="E53" s="63"/>
      <c r="F53" s="63"/>
      <c r="G53" s="63"/>
      <c r="H53" s="63"/>
      <c r="I53" s="63"/>
      <c r="J53" s="63"/>
      <c r="K53" s="63"/>
      <c r="L53" s="63"/>
      <c r="M53" s="63"/>
      <c r="N53" s="63"/>
      <c r="O53" s="63"/>
      <c r="P53" s="63"/>
      <c r="Q53" s="63"/>
      <c r="R53" s="63"/>
      <c r="S53" s="63"/>
      <c r="T53" s="63"/>
      <c r="U53" s="63"/>
      <c r="V53" s="63"/>
      <c r="W53" s="63"/>
      <c r="X53" s="63"/>
      <c r="Y53" s="63"/>
      <c r="Z53" s="63"/>
    </row>
    <row r="54" spans="5:26" x14ac:dyDescent="0.4">
      <c r="E54" s="63"/>
      <c r="F54" s="63"/>
      <c r="G54" s="63"/>
      <c r="H54" s="63"/>
      <c r="I54" s="63"/>
      <c r="J54" s="63"/>
      <c r="K54" s="63"/>
      <c r="L54" s="63"/>
      <c r="M54" s="63"/>
      <c r="N54" s="63"/>
      <c r="O54" s="63"/>
      <c r="P54" s="63"/>
      <c r="Q54" s="63"/>
      <c r="R54" s="63"/>
      <c r="S54" s="63"/>
      <c r="T54" s="63"/>
      <c r="U54" s="63"/>
      <c r="V54" s="63"/>
      <c r="W54" s="63"/>
      <c r="X54" s="63"/>
      <c r="Y54" s="63"/>
      <c r="Z54" s="63"/>
    </row>
    <row r="55" spans="5:26" x14ac:dyDescent="0.4">
      <c r="E55" s="63"/>
      <c r="F55" s="63"/>
      <c r="G55" s="63"/>
      <c r="H55" s="63"/>
      <c r="I55" s="63"/>
      <c r="J55" s="63"/>
      <c r="K55" s="63"/>
      <c r="L55" s="63"/>
      <c r="M55" s="63"/>
      <c r="N55" s="63"/>
      <c r="O55" s="63"/>
      <c r="P55" s="63"/>
      <c r="Q55" s="63"/>
      <c r="R55" s="63"/>
      <c r="S55" s="63"/>
      <c r="T55" s="63"/>
      <c r="U55" s="63"/>
      <c r="V55" s="63"/>
      <c r="W55" s="63"/>
      <c r="X55" s="63"/>
      <c r="Y55" s="63"/>
      <c r="Z55" s="63"/>
    </row>
    <row r="56" spans="5:26" x14ac:dyDescent="0.4">
      <c r="E56" s="63"/>
      <c r="F56" s="63"/>
      <c r="G56" s="63"/>
      <c r="H56" s="63"/>
      <c r="I56" s="63"/>
      <c r="J56" s="63"/>
      <c r="K56" s="63"/>
      <c r="L56" s="63"/>
      <c r="M56" s="63"/>
      <c r="N56" s="63"/>
      <c r="O56" s="63"/>
      <c r="P56" s="63"/>
      <c r="Q56" s="63"/>
      <c r="R56" s="63"/>
      <c r="S56" s="63"/>
      <c r="T56" s="63"/>
      <c r="U56" s="63"/>
      <c r="V56" s="63"/>
      <c r="W56" s="63"/>
      <c r="X56" s="63"/>
      <c r="Y56" s="63"/>
      <c r="Z56" s="63"/>
    </row>
    <row r="57" spans="5:26" x14ac:dyDescent="0.4">
      <c r="E57" s="63"/>
      <c r="F57" s="63"/>
      <c r="G57" s="63"/>
      <c r="H57" s="63"/>
      <c r="I57" s="63"/>
      <c r="J57" s="63"/>
      <c r="K57" s="63"/>
      <c r="L57" s="63"/>
      <c r="M57" s="63"/>
      <c r="N57" s="63"/>
      <c r="O57" s="63"/>
      <c r="P57" s="63"/>
      <c r="Q57" s="63"/>
      <c r="R57" s="63"/>
      <c r="S57" s="63"/>
      <c r="T57" s="63"/>
      <c r="U57" s="63"/>
      <c r="V57" s="63"/>
      <c r="W57" s="63"/>
      <c r="X57" s="63"/>
      <c r="Y57" s="63"/>
      <c r="Z57" s="63"/>
    </row>
    <row r="58" spans="5:26" x14ac:dyDescent="0.4">
      <c r="E58" s="63"/>
      <c r="F58" s="63"/>
      <c r="G58" s="63"/>
      <c r="H58" s="63"/>
      <c r="I58" s="63"/>
      <c r="J58" s="63"/>
      <c r="K58" s="63"/>
      <c r="L58" s="63"/>
      <c r="M58" s="63"/>
      <c r="N58" s="63"/>
      <c r="O58" s="63"/>
      <c r="P58" s="63"/>
      <c r="Q58" s="63"/>
      <c r="R58" s="63"/>
      <c r="S58" s="63"/>
      <c r="T58" s="63"/>
      <c r="U58" s="63"/>
      <c r="V58" s="63"/>
      <c r="W58" s="63"/>
      <c r="X58" s="63"/>
      <c r="Y58" s="63"/>
      <c r="Z58" s="63"/>
    </row>
    <row r="59" spans="5:26" x14ac:dyDescent="0.4">
      <c r="E59" s="63"/>
      <c r="F59" s="63"/>
      <c r="G59" s="63"/>
      <c r="H59" s="63"/>
      <c r="I59" s="63"/>
      <c r="J59" s="63"/>
      <c r="K59" s="63"/>
      <c r="L59" s="63"/>
      <c r="M59" s="63"/>
      <c r="N59" s="63"/>
      <c r="O59" s="63"/>
      <c r="P59" s="63"/>
      <c r="Q59" s="63"/>
      <c r="R59" s="63"/>
      <c r="S59" s="63"/>
      <c r="T59" s="63"/>
      <c r="U59" s="63"/>
      <c r="V59" s="63"/>
      <c r="W59" s="63"/>
      <c r="X59" s="63"/>
      <c r="Y59" s="63"/>
      <c r="Z59" s="63"/>
    </row>
    <row r="60" spans="5:26" x14ac:dyDescent="0.4">
      <c r="E60" s="63"/>
      <c r="F60" s="63"/>
      <c r="G60" s="63"/>
      <c r="H60" s="63"/>
      <c r="I60" s="63"/>
      <c r="J60" s="63"/>
      <c r="K60" s="63"/>
      <c r="L60" s="63"/>
      <c r="M60" s="63"/>
      <c r="N60" s="63"/>
      <c r="O60" s="63"/>
      <c r="P60" s="63"/>
      <c r="Q60" s="63"/>
      <c r="R60" s="63"/>
      <c r="S60" s="63"/>
      <c r="T60" s="63"/>
      <c r="U60" s="63"/>
      <c r="V60" s="63"/>
      <c r="W60" s="63"/>
      <c r="X60" s="63"/>
      <c r="Y60" s="63"/>
      <c r="Z60" s="63"/>
    </row>
    <row r="61" spans="5:26" x14ac:dyDescent="0.4">
      <c r="E61" s="63"/>
      <c r="F61" s="63"/>
      <c r="G61" s="63"/>
      <c r="H61" s="63"/>
      <c r="I61" s="63"/>
      <c r="J61" s="63"/>
      <c r="K61" s="63"/>
      <c r="L61" s="63"/>
      <c r="M61" s="63"/>
      <c r="N61" s="63"/>
      <c r="O61" s="63"/>
      <c r="P61" s="63"/>
      <c r="Q61" s="63"/>
      <c r="R61" s="63"/>
      <c r="S61" s="63"/>
      <c r="T61" s="63"/>
      <c r="U61" s="63"/>
      <c r="V61" s="63"/>
      <c r="W61" s="63"/>
      <c r="X61" s="63"/>
      <c r="Y61" s="63"/>
      <c r="Z61" s="63"/>
    </row>
    <row r="62" spans="5:26" x14ac:dyDescent="0.4">
      <c r="E62" s="63"/>
      <c r="F62" s="63"/>
      <c r="G62" s="63"/>
      <c r="H62" s="63"/>
      <c r="I62" s="63"/>
      <c r="J62" s="63"/>
      <c r="K62" s="63"/>
      <c r="L62" s="63"/>
      <c r="M62" s="63"/>
      <c r="N62" s="63"/>
      <c r="O62" s="63"/>
      <c r="P62" s="63"/>
      <c r="Q62" s="63"/>
      <c r="R62" s="63"/>
      <c r="S62" s="63"/>
      <c r="T62" s="63"/>
      <c r="U62" s="63"/>
      <c r="V62" s="63"/>
      <c r="W62" s="63"/>
      <c r="X62" s="63"/>
      <c r="Y62" s="63"/>
      <c r="Z62" s="63"/>
    </row>
    <row r="63" spans="5:26" x14ac:dyDescent="0.4">
      <c r="E63" s="63"/>
      <c r="F63" s="63"/>
      <c r="G63" s="63"/>
      <c r="H63" s="63"/>
      <c r="I63" s="63"/>
      <c r="J63" s="63"/>
      <c r="K63" s="63"/>
      <c r="L63" s="63"/>
      <c r="M63" s="63"/>
      <c r="N63" s="63"/>
      <c r="O63" s="63"/>
      <c r="P63" s="63"/>
      <c r="Q63" s="63"/>
      <c r="R63" s="63"/>
      <c r="S63" s="63"/>
      <c r="T63" s="63"/>
      <c r="U63" s="63"/>
      <c r="V63" s="63"/>
      <c r="W63" s="63"/>
      <c r="X63" s="63"/>
      <c r="Y63" s="63"/>
      <c r="Z63" s="63"/>
    </row>
    <row r="64" spans="5:26" x14ac:dyDescent="0.4">
      <c r="E64" s="63"/>
      <c r="F64" s="63"/>
      <c r="G64" s="63"/>
      <c r="H64" s="63"/>
      <c r="I64" s="63"/>
      <c r="J64" s="63"/>
      <c r="K64" s="63"/>
      <c r="L64" s="63"/>
      <c r="M64" s="63"/>
      <c r="N64" s="63"/>
      <c r="O64" s="63"/>
      <c r="P64" s="63"/>
      <c r="Q64" s="63"/>
      <c r="R64" s="63"/>
      <c r="S64" s="63"/>
      <c r="T64" s="63"/>
      <c r="U64" s="63"/>
      <c r="V64" s="63"/>
      <c r="W64" s="63"/>
      <c r="X64" s="63"/>
      <c r="Y64" s="63"/>
      <c r="Z64" s="63"/>
    </row>
    <row r="65" spans="5:26" x14ac:dyDescent="0.4">
      <c r="E65" s="63"/>
      <c r="F65" s="63"/>
      <c r="G65" s="63"/>
      <c r="H65" s="63"/>
      <c r="I65" s="63"/>
      <c r="J65" s="63"/>
      <c r="K65" s="63"/>
      <c r="L65" s="63"/>
      <c r="M65" s="63"/>
      <c r="N65" s="63"/>
      <c r="O65" s="63"/>
      <c r="P65" s="63"/>
      <c r="Q65" s="63"/>
      <c r="R65" s="63"/>
      <c r="S65" s="63"/>
      <c r="T65" s="63"/>
      <c r="U65" s="63"/>
      <c r="V65" s="63"/>
      <c r="W65" s="63"/>
      <c r="X65" s="63"/>
      <c r="Y65" s="63"/>
      <c r="Z65" s="63"/>
    </row>
    <row r="66" spans="5:26" x14ac:dyDescent="0.4">
      <c r="E66" s="63"/>
      <c r="F66" s="63"/>
      <c r="G66" s="63"/>
      <c r="H66" s="63"/>
      <c r="I66" s="63"/>
      <c r="J66" s="63"/>
      <c r="K66" s="63"/>
      <c r="L66" s="63"/>
      <c r="M66" s="63"/>
      <c r="N66" s="63"/>
      <c r="O66" s="63"/>
      <c r="P66" s="63"/>
      <c r="Q66" s="63"/>
      <c r="R66" s="63"/>
      <c r="S66" s="63"/>
      <c r="T66" s="63"/>
      <c r="U66" s="63"/>
      <c r="V66" s="63"/>
      <c r="W66" s="63"/>
      <c r="X66" s="63"/>
      <c r="Y66" s="63"/>
      <c r="Z66" s="63"/>
    </row>
    <row r="67" spans="5:26" x14ac:dyDescent="0.4">
      <c r="E67" s="63"/>
      <c r="F67" s="63"/>
      <c r="G67" s="63"/>
      <c r="H67" s="63"/>
      <c r="I67" s="63"/>
      <c r="J67" s="63"/>
      <c r="K67" s="63"/>
      <c r="L67" s="63"/>
      <c r="M67" s="63"/>
      <c r="N67" s="63"/>
      <c r="O67" s="63"/>
      <c r="P67" s="63"/>
      <c r="Q67" s="63"/>
      <c r="R67" s="63"/>
      <c r="S67" s="63"/>
      <c r="T67" s="63"/>
      <c r="U67" s="63"/>
      <c r="V67" s="63"/>
      <c r="W67" s="63"/>
      <c r="X67" s="63"/>
      <c r="Y67" s="63"/>
      <c r="Z67" s="63"/>
    </row>
    <row r="68" spans="5:26" x14ac:dyDescent="0.4">
      <c r="E68" s="63"/>
      <c r="F68" s="63"/>
      <c r="G68" s="63"/>
      <c r="H68" s="63"/>
      <c r="I68" s="63"/>
      <c r="J68" s="63"/>
      <c r="K68" s="63"/>
      <c r="L68" s="63"/>
      <c r="M68" s="63"/>
      <c r="N68" s="63"/>
      <c r="O68" s="63"/>
      <c r="P68" s="63"/>
      <c r="Q68" s="63"/>
      <c r="R68" s="63"/>
      <c r="S68" s="63"/>
      <c r="T68" s="63"/>
      <c r="U68" s="63"/>
      <c r="V68" s="63"/>
      <c r="W68" s="63"/>
      <c r="X68" s="63"/>
      <c r="Y68" s="63"/>
      <c r="Z68" s="63"/>
    </row>
    <row r="69" spans="5:26" x14ac:dyDescent="0.4">
      <c r="E69" s="63"/>
      <c r="F69" s="63"/>
      <c r="G69" s="63"/>
      <c r="H69" s="63"/>
      <c r="I69" s="63"/>
      <c r="J69" s="63"/>
      <c r="K69" s="63"/>
      <c r="L69" s="63"/>
      <c r="M69" s="63"/>
      <c r="N69" s="63"/>
      <c r="O69" s="63"/>
      <c r="P69" s="63"/>
      <c r="Q69" s="63"/>
      <c r="R69" s="63"/>
      <c r="S69" s="63"/>
      <c r="T69" s="63"/>
      <c r="U69" s="63"/>
      <c r="V69" s="63"/>
      <c r="W69" s="63"/>
      <c r="X69" s="63"/>
      <c r="Y69" s="63"/>
      <c r="Z69" s="63"/>
    </row>
    <row r="70" spans="5:26" x14ac:dyDescent="0.4">
      <c r="E70" s="63"/>
      <c r="F70" s="63"/>
      <c r="G70" s="63"/>
      <c r="H70" s="63"/>
      <c r="I70" s="63"/>
      <c r="J70" s="63"/>
      <c r="K70" s="63"/>
      <c r="L70" s="63"/>
      <c r="M70" s="63"/>
      <c r="N70" s="63"/>
      <c r="O70" s="63"/>
      <c r="P70" s="63"/>
      <c r="Q70" s="63"/>
      <c r="R70" s="63"/>
      <c r="S70" s="63"/>
      <c r="T70" s="63"/>
      <c r="U70" s="63"/>
      <c r="V70" s="63"/>
      <c r="W70" s="63"/>
      <c r="X70" s="63"/>
      <c r="Y70" s="63"/>
      <c r="Z70" s="63"/>
    </row>
    <row r="71" spans="5:26" x14ac:dyDescent="0.4">
      <c r="E71" s="63"/>
      <c r="F71" s="63"/>
      <c r="G71" s="63"/>
      <c r="H71" s="63"/>
      <c r="I71" s="63"/>
      <c r="J71" s="63"/>
      <c r="K71" s="63"/>
      <c r="L71" s="63"/>
      <c r="M71" s="63"/>
      <c r="N71" s="63"/>
      <c r="O71" s="63"/>
      <c r="P71" s="63"/>
      <c r="Q71" s="63"/>
      <c r="R71" s="63"/>
      <c r="S71" s="63"/>
      <c r="T71" s="63"/>
      <c r="U71" s="63"/>
      <c r="V71" s="63"/>
      <c r="W71" s="63"/>
      <c r="X71" s="63"/>
      <c r="Y71" s="63"/>
      <c r="Z71" s="63"/>
    </row>
    <row r="72" spans="5:26" x14ac:dyDescent="0.4">
      <c r="E72" s="63"/>
      <c r="F72" s="63"/>
      <c r="G72" s="63"/>
      <c r="H72" s="63"/>
      <c r="I72" s="63"/>
      <c r="J72" s="63"/>
      <c r="K72" s="63"/>
      <c r="L72" s="63"/>
      <c r="M72" s="63"/>
      <c r="N72" s="63"/>
      <c r="O72" s="63"/>
      <c r="P72" s="63"/>
      <c r="Q72" s="63"/>
      <c r="R72" s="63"/>
      <c r="S72" s="63"/>
      <c r="T72" s="63"/>
      <c r="U72" s="63"/>
      <c r="V72" s="63"/>
      <c r="W72" s="63"/>
      <c r="X72" s="63"/>
      <c r="Y72" s="63"/>
      <c r="Z72" s="63"/>
    </row>
    <row r="73" spans="5:26" x14ac:dyDescent="0.4">
      <c r="E73" s="63"/>
      <c r="F73" s="63"/>
      <c r="G73" s="63"/>
      <c r="H73" s="63"/>
      <c r="I73" s="63"/>
      <c r="J73" s="63"/>
      <c r="K73" s="63"/>
      <c r="L73" s="63"/>
      <c r="M73" s="63"/>
      <c r="N73" s="63"/>
      <c r="O73" s="63"/>
      <c r="P73" s="63"/>
      <c r="Q73" s="63"/>
      <c r="R73" s="63"/>
      <c r="S73" s="63"/>
      <c r="T73" s="63"/>
      <c r="U73" s="63"/>
      <c r="V73" s="63"/>
      <c r="W73" s="63"/>
      <c r="X73" s="63"/>
      <c r="Y73" s="63"/>
      <c r="Z73" s="63"/>
    </row>
    <row r="74" spans="5:26" x14ac:dyDescent="0.4">
      <c r="E74" s="63"/>
      <c r="F74" s="63"/>
      <c r="G74" s="63"/>
      <c r="H74" s="63"/>
      <c r="I74" s="63"/>
      <c r="J74" s="63"/>
      <c r="K74" s="63"/>
      <c r="L74" s="63"/>
      <c r="M74" s="63"/>
      <c r="N74" s="63"/>
      <c r="O74" s="63"/>
      <c r="P74" s="63"/>
      <c r="Q74" s="63"/>
      <c r="R74" s="63"/>
      <c r="S74" s="63"/>
      <c r="T74" s="63"/>
      <c r="U74" s="63"/>
      <c r="V74" s="63"/>
      <c r="W74" s="63"/>
      <c r="X74" s="63"/>
      <c r="Y74" s="63"/>
      <c r="Z74" s="63"/>
    </row>
    <row r="75" spans="5:26" x14ac:dyDescent="0.4">
      <c r="E75" s="63"/>
      <c r="F75" s="63"/>
      <c r="G75" s="63"/>
      <c r="H75" s="63"/>
      <c r="I75" s="63"/>
      <c r="J75" s="63"/>
      <c r="K75" s="63"/>
      <c r="L75" s="63"/>
      <c r="M75" s="63"/>
      <c r="N75" s="63"/>
      <c r="O75" s="63"/>
      <c r="P75" s="63"/>
      <c r="Q75" s="63"/>
      <c r="R75" s="63"/>
      <c r="S75" s="63"/>
      <c r="T75" s="63"/>
      <c r="U75" s="63"/>
      <c r="V75" s="63"/>
      <c r="W75" s="63"/>
      <c r="X75" s="63"/>
      <c r="Y75" s="63"/>
      <c r="Z75" s="63"/>
    </row>
    <row r="76" spans="5:26" x14ac:dyDescent="0.4">
      <c r="E76" s="63"/>
      <c r="F76" s="63"/>
      <c r="G76" s="63"/>
      <c r="H76" s="63"/>
      <c r="I76" s="63"/>
      <c r="J76" s="63"/>
      <c r="K76" s="63"/>
      <c r="L76" s="63"/>
      <c r="M76" s="63"/>
      <c r="N76" s="63"/>
      <c r="O76" s="63"/>
      <c r="P76" s="63"/>
      <c r="Q76" s="63"/>
      <c r="R76" s="63"/>
      <c r="S76" s="63"/>
      <c r="T76" s="63"/>
      <c r="U76" s="63"/>
      <c r="V76" s="63"/>
      <c r="W76" s="63"/>
      <c r="X76" s="63"/>
      <c r="Y76" s="63"/>
      <c r="Z76" s="63"/>
    </row>
    <row r="77" spans="5:26" x14ac:dyDescent="0.4">
      <c r="E77" s="63"/>
      <c r="F77" s="63"/>
      <c r="G77" s="63"/>
      <c r="H77" s="63"/>
      <c r="I77" s="63"/>
      <c r="J77" s="63"/>
      <c r="K77" s="63"/>
      <c r="L77" s="63"/>
      <c r="M77" s="63"/>
      <c r="N77" s="63"/>
      <c r="O77" s="63"/>
      <c r="P77" s="63"/>
      <c r="Q77" s="63"/>
      <c r="R77" s="63"/>
      <c r="S77" s="63"/>
      <c r="T77" s="63"/>
      <c r="U77" s="63"/>
      <c r="V77" s="63"/>
      <c r="W77" s="63"/>
      <c r="X77" s="63"/>
      <c r="Y77" s="63"/>
      <c r="Z77" s="63"/>
    </row>
    <row r="78" spans="5:26" x14ac:dyDescent="0.4">
      <c r="E78" s="63"/>
      <c r="F78" s="63"/>
      <c r="G78" s="63"/>
      <c r="H78" s="63"/>
      <c r="I78" s="63"/>
      <c r="J78" s="63"/>
      <c r="K78" s="63"/>
      <c r="L78" s="63"/>
      <c r="M78" s="63"/>
      <c r="N78" s="63"/>
      <c r="O78" s="63"/>
      <c r="P78" s="63"/>
      <c r="Q78" s="63"/>
      <c r="R78" s="63"/>
      <c r="S78" s="63"/>
      <c r="T78" s="63"/>
      <c r="U78" s="63"/>
      <c r="V78" s="63"/>
      <c r="W78" s="63"/>
      <c r="X78" s="63"/>
      <c r="Y78" s="63"/>
      <c r="Z78" s="63"/>
    </row>
    <row r="79" spans="5:26" x14ac:dyDescent="0.4">
      <c r="E79" s="63"/>
      <c r="F79" s="63"/>
      <c r="G79" s="63"/>
      <c r="H79" s="63"/>
      <c r="I79" s="63"/>
      <c r="J79" s="63"/>
      <c r="K79" s="63"/>
      <c r="L79" s="63"/>
      <c r="M79" s="63"/>
      <c r="N79" s="63"/>
      <c r="O79" s="63"/>
      <c r="P79" s="63"/>
      <c r="Q79" s="63"/>
      <c r="R79" s="63"/>
      <c r="S79" s="63"/>
      <c r="T79" s="63"/>
      <c r="U79" s="63"/>
      <c r="V79" s="63"/>
      <c r="W79" s="63"/>
      <c r="X79" s="63"/>
      <c r="Y79" s="63"/>
      <c r="Z79" s="63"/>
    </row>
    <row r="80" spans="5:26" x14ac:dyDescent="0.4">
      <c r="E80" s="63"/>
      <c r="F80" s="63"/>
      <c r="G80" s="63"/>
      <c r="H80" s="63"/>
      <c r="I80" s="63"/>
      <c r="J80" s="63"/>
      <c r="K80" s="63"/>
      <c r="L80" s="63"/>
      <c r="M80" s="63"/>
      <c r="N80" s="63"/>
      <c r="O80" s="63"/>
      <c r="P80" s="63"/>
      <c r="Q80" s="63"/>
      <c r="R80" s="63"/>
      <c r="S80" s="63"/>
      <c r="T80" s="63"/>
      <c r="U80" s="63"/>
      <c r="V80" s="63"/>
      <c r="W80" s="63"/>
      <c r="X80" s="63"/>
      <c r="Y80" s="63"/>
      <c r="Z80" s="63"/>
    </row>
    <row r="81" spans="5:26" x14ac:dyDescent="0.4">
      <c r="E81" s="63"/>
      <c r="F81" s="63"/>
      <c r="G81" s="63"/>
      <c r="H81" s="63"/>
      <c r="I81" s="63"/>
      <c r="J81" s="63"/>
      <c r="K81" s="63"/>
      <c r="L81" s="63"/>
      <c r="M81" s="63"/>
      <c r="N81" s="63"/>
      <c r="O81" s="63"/>
      <c r="P81" s="63"/>
      <c r="Q81" s="63"/>
      <c r="R81" s="63"/>
      <c r="S81" s="63"/>
      <c r="T81" s="63"/>
      <c r="U81" s="63"/>
      <c r="V81" s="63"/>
      <c r="W81" s="63"/>
      <c r="X81" s="63"/>
      <c r="Y81" s="63"/>
      <c r="Z81" s="63"/>
    </row>
    <row r="82" spans="5:26" x14ac:dyDescent="0.4">
      <c r="E82" s="63"/>
      <c r="F82" s="63"/>
      <c r="G82" s="63"/>
      <c r="H82" s="63"/>
      <c r="I82" s="63"/>
      <c r="J82" s="63"/>
      <c r="K82" s="63"/>
      <c r="L82" s="63"/>
      <c r="M82" s="63"/>
      <c r="N82" s="63"/>
      <c r="O82" s="63"/>
      <c r="P82" s="63"/>
      <c r="Q82" s="63"/>
      <c r="R82" s="63"/>
      <c r="S82" s="63"/>
      <c r="T82" s="63"/>
      <c r="U82" s="63"/>
      <c r="V82" s="63"/>
      <c r="W82" s="63"/>
      <c r="X82" s="63"/>
      <c r="Y82" s="63"/>
      <c r="Z82" s="63"/>
    </row>
    <row r="83" spans="5:26" x14ac:dyDescent="0.4">
      <c r="E83" s="63"/>
      <c r="F83" s="63"/>
      <c r="G83" s="63"/>
      <c r="H83" s="63"/>
      <c r="I83" s="63"/>
      <c r="J83" s="63"/>
      <c r="K83" s="63"/>
      <c r="L83" s="63"/>
      <c r="M83" s="63"/>
      <c r="N83" s="63"/>
      <c r="O83" s="63"/>
      <c r="P83" s="63"/>
      <c r="Q83" s="63"/>
      <c r="R83" s="63"/>
      <c r="S83" s="63"/>
      <c r="T83" s="63"/>
      <c r="U83" s="63"/>
      <c r="V83" s="63"/>
      <c r="W83" s="63"/>
      <c r="X83" s="63"/>
      <c r="Y83" s="63"/>
      <c r="Z83" s="63"/>
    </row>
    <row r="84" spans="5:26" x14ac:dyDescent="0.4">
      <c r="E84" s="63"/>
      <c r="F84" s="63"/>
      <c r="G84" s="63"/>
      <c r="H84" s="63"/>
      <c r="I84" s="63"/>
      <c r="J84" s="63"/>
      <c r="K84" s="63"/>
      <c r="L84" s="63"/>
      <c r="M84" s="63"/>
      <c r="N84" s="63"/>
      <c r="O84" s="63"/>
      <c r="P84" s="63"/>
      <c r="Q84" s="63"/>
      <c r="R84" s="63"/>
      <c r="S84" s="63"/>
      <c r="T84" s="63"/>
      <c r="U84" s="63"/>
      <c r="V84" s="63"/>
      <c r="W84" s="63"/>
      <c r="X84" s="63"/>
      <c r="Y84" s="63"/>
      <c r="Z84" s="63"/>
    </row>
    <row r="85" spans="5:26" x14ac:dyDescent="0.4">
      <c r="E85" s="63"/>
      <c r="F85" s="63"/>
      <c r="G85" s="63"/>
      <c r="H85" s="63"/>
      <c r="I85" s="63"/>
      <c r="J85" s="63"/>
      <c r="K85" s="63"/>
      <c r="L85" s="63"/>
      <c r="M85" s="63"/>
      <c r="N85" s="63"/>
      <c r="O85" s="63"/>
      <c r="P85" s="63"/>
      <c r="Q85" s="63"/>
      <c r="R85" s="63"/>
      <c r="S85" s="63"/>
      <c r="T85" s="63"/>
      <c r="U85" s="63"/>
      <c r="V85" s="63"/>
      <c r="W85" s="63"/>
      <c r="X85" s="63"/>
      <c r="Y85" s="63"/>
      <c r="Z85" s="63"/>
    </row>
    <row r="86" spans="5:26" x14ac:dyDescent="0.4">
      <c r="E86" s="63"/>
      <c r="F86" s="63"/>
      <c r="G86" s="63"/>
      <c r="H86" s="63"/>
      <c r="I86" s="63"/>
      <c r="J86" s="63"/>
      <c r="K86" s="63"/>
      <c r="L86" s="63"/>
      <c r="M86" s="63"/>
      <c r="N86" s="63"/>
      <c r="O86" s="63"/>
      <c r="P86" s="63"/>
      <c r="Q86" s="63"/>
      <c r="R86" s="63"/>
      <c r="S86" s="63"/>
      <c r="T86" s="63"/>
      <c r="U86" s="63"/>
      <c r="V86" s="63"/>
      <c r="W86" s="63"/>
      <c r="X86" s="63"/>
      <c r="Y86" s="63"/>
      <c r="Z86" s="63"/>
    </row>
    <row r="87" spans="5:26" x14ac:dyDescent="0.4">
      <c r="E87" s="63"/>
      <c r="F87" s="63"/>
      <c r="G87" s="63"/>
      <c r="H87" s="63"/>
      <c r="I87" s="63"/>
      <c r="J87" s="63"/>
      <c r="K87" s="63"/>
      <c r="L87" s="63"/>
      <c r="M87" s="63"/>
      <c r="N87" s="63"/>
      <c r="O87" s="63"/>
      <c r="P87" s="63"/>
      <c r="Q87" s="63"/>
      <c r="R87" s="63"/>
      <c r="S87" s="63"/>
      <c r="T87" s="63"/>
      <c r="U87" s="63"/>
      <c r="V87" s="63"/>
      <c r="W87" s="63"/>
      <c r="X87" s="63"/>
      <c r="Y87" s="63"/>
      <c r="Z87" s="63"/>
    </row>
    <row r="88" spans="5:26" x14ac:dyDescent="0.4">
      <c r="E88" s="63"/>
      <c r="F88" s="63"/>
      <c r="G88" s="63"/>
      <c r="H88" s="63"/>
      <c r="I88" s="63"/>
      <c r="J88" s="63"/>
      <c r="K88" s="63"/>
      <c r="L88" s="63"/>
      <c r="M88" s="63"/>
      <c r="N88" s="63"/>
      <c r="O88" s="63"/>
      <c r="P88" s="63"/>
      <c r="Q88" s="63"/>
      <c r="R88" s="63"/>
      <c r="S88" s="63"/>
      <c r="T88" s="63"/>
      <c r="U88" s="63"/>
      <c r="V88" s="63"/>
      <c r="W88" s="63"/>
      <c r="X88" s="63"/>
      <c r="Y88" s="63"/>
      <c r="Z88" s="63"/>
    </row>
    <row r="89" spans="5:26" x14ac:dyDescent="0.4">
      <c r="E89" s="63"/>
      <c r="F89" s="63"/>
      <c r="G89" s="63"/>
      <c r="H89" s="63"/>
      <c r="I89" s="63"/>
      <c r="J89" s="63"/>
      <c r="K89" s="63"/>
      <c r="L89" s="63"/>
      <c r="M89" s="63"/>
      <c r="N89" s="63"/>
      <c r="O89" s="63"/>
      <c r="P89" s="63"/>
      <c r="Q89" s="63"/>
      <c r="R89" s="63"/>
      <c r="S89" s="63"/>
      <c r="T89" s="63"/>
      <c r="U89" s="63"/>
      <c r="V89" s="63"/>
      <c r="W89" s="63"/>
      <c r="X89" s="63"/>
      <c r="Y89" s="63"/>
      <c r="Z89" s="63"/>
    </row>
    <row r="90" spans="5:26" x14ac:dyDescent="0.4">
      <c r="E90" s="63"/>
      <c r="F90" s="63"/>
      <c r="G90" s="63"/>
      <c r="H90" s="63"/>
      <c r="I90" s="63"/>
      <c r="J90" s="63"/>
      <c r="K90" s="63"/>
      <c r="L90" s="63"/>
      <c r="M90" s="63"/>
      <c r="N90" s="63"/>
      <c r="O90" s="63"/>
      <c r="P90" s="63"/>
      <c r="Q90" s="63"/>
      <c r="R90" s="63"/>
      <c r="S90" s="63"/>
      <c r="T90" s="63"/>
      <c r="U90" s="63"/>
      <c r="V90" s="63"/>
      <c r="W90" s="63"/>
      <c r="X90" s="63"/>
      <c r="Y90" s="63"/>
      <c r="Z90" s="63"/>
    </row>
    <row r="91" spans="5:26" x14ac:dyDescent="0.4">
      <c r="E91" s="63"/>
      <c r="F91" s="63"/>
      <c r="G91" s="63"/>
      <c r="H91" s="63"/>
      <c r="I91" s="63"/>
      <c r="J91" s="63"/>
      <c r="K91" s="63"/>
      <c r="L91" s="63"/>
      <c r="M91" s="63"/>
      <c r="N91" s="63"/>
      <c r="O91" s="63"/>
      <c r="P91" s="63"/>
      <c r="Q91" s="63"/>
      <c r="R91" s="63"/>
      <c r="S91" s="63"/>
      <c r="T91" s="63"/>
      <c r="U91" s="63"/>
      <c r="V91" s="63"/>
      <c r="W91" s="63"/>
      <c r="X91" s="63"/>
      <c r="Y91" s="63"/>
      <c r="Z91" s="63"/>
    </row>
    <row r="92" spans="5:26" x14ac:dyDescent="0.4">
      <c r="E92" s="63"/>
      <c r="F92" s="63"/>
      <c r="G92" s="63"/>
      <c r="H92" s="63"/>
      <c r="I92" s="63"/>
      <c r="J92" s="63"/>
      <c r="K92" s="63"/>
      <c r="L92" s="63"/>
      <c r="M92" s="63"/>
      <c r="N92" s="63"/>
      <c r="O92" s="63"/>
      <c r="P92" s="63"/>
      <c r="Q92" s="63"/>
      <c r="R92" s="63"/>
      <c r="S92" s="63"/>
      <c r="T92" s="63"/>
      <c r="U92" s="63"/>
      <c r="V92" s="63"/>
      <c r="W92" s="63"/>
      <c r="X92" s="63"/>
      <c r="Y92" s="63"/>
      <c r="Z92" s="63"/>
    </row>
    <row r="93" spans="5:26" x14ac:dyDescent="0.4">
      <c r="E93" s="63"/>
      <c r="F93" s="63"/>
      <c r="G93" s="63"/>
      <c r="H93" s="63"/>
      <c r="I93" s="63"/>
      <c r="J93" s="63"/>
      <c r="K93" s="63"/>
      <c r="L93" s="63"/>
      <c r="M93" s="63"/>
      <c r="N93" s="63"/>
      <c r="O93" s="63"/>
      <c r="P93" s="63"/>
      <c r="Q93" s="63"/>
      <c r="R93" s="63"/>
      <c r="S93" s="63"/>
      <c r="T93" s="63"/>
      <c r="U93" s="63"/>
      <c r="V93" s="63"/>
      <c r="W93" s="63"/>
      <c r="X93" s="63"/>
      <c r="Y93" s="63"/>
      <c r="Z93" s="63"/>
    </row>
    <row r="94" spans="5:26" x14ac:dyDescent="0.4">
      <c r="E94" s="63"/>
      <c r="F94" s="63"/>
      <c r="G94" s="63"/>
      <c r="H94" s="63"/>
      <c r="I94" s="63"/>
      <c r="J94" s="63"/>
      <c r="K94" s="63"/>
      <c r="L94" s="63"/>
      <c r="M94" s="63"/>
      <c r="N94" s="63"/>
      <c r="O94" s="63"/>
      <c r="P94" s="63"/>
      <c r="Q94" s="63"/>
      <c r="R94" s="63"/>
      <c r="S94" s="63"/>
      <c r="T94" s="63"/>
      <c r="U94" s="63"/>
      <c r="V94" s="63"/>
      <c r="W94" s="63"/>
      <c r="X94" s="63"/>
      <c r="Y94" s="63"/>
      <c r="Z94" s="63"/>
    </row>
    <row r="95" spans="5:26" x14ac:dyDescent="0.4">
      <c r="E95" s="63"/>
      <c r="F95" s="63"/>
      <c r="G95" s="63"/>
      <c r="H95" s="63"/>
      <c r="I95" s="63"/>
      <c r="J95" s="63"/>
      <c r="K95" s="63"/>
      <c r="L95" s="63"/>
      <c r="M95" s="63"/>
      <c r="N95" s="63"/>
      <c r="O95" s="63"/>
      <c r="P95" s="63"/>
      <c r="Q95" s="63"/>
      <c r="R95" s="63"/>
      <c r="S95" s="63"/>
      <c r="T95" s="63"/>
      <c r="U95" s="63"/>
      <c r="V95" s="63"/>
      <c r="W95" s="63"/>
      <c r="X95" s="63"/>
      <c r="Y95" s="63"/>
      <c r="Z95" s="63"/>
    </row>
    <row r="96" spans="5:26" x14ac:dyDescent="0.4">
      <c r="E96" s="63"/>
      <c r="F96" s="63"/>
      <c r="G96" s="63"/>
      <c r="H96" s="63"/>
      <c r="I96" s="63"/>
      <c r="J96" s="63"/>
      <c r="K96" s="63"/>
      <c r="L96" s="63"/>
      <c r="M96" s="63"/>
      <c r="N96" s="63"/>
      <c r="O96" s="63"/>
      <c r="P96" s="63"/>
      <c r="Q96" s="63"/>
      <c r="R96" s="63"/>
      <c r="S96" s="63"/>
      <c r="T96" s="63"/>
      <c r="U96" s="63"/>
      <c r="V96" s="63"/>
      <c r="W96" s="63"/>
      <c r="X96" s="63"/>
      <c r="Y96" s="63"/>
      <c r="Z96" s="63"/>
    </row>
    <row r="97" spans="5:26" x14ac:dyDescent="0.4">
      <c r="E97" s="63"/>
      <c r="F97" s="63"/>
      <c r="G97" s="63"/>
      <c r="H97" s="63"/>
      <c r="I97" s="63"/>
      <c r="J97" s="63"/>
      <c r="K97" s="63"/>
      <c r="L97" s="63"/>
      <c r="M97" s="63"/>
      <c r="N97" s="63"/>
      <c r="O97" s="63"/>
      <c r="P97" s="63"/>
      <c r="Q97" s="63"/>
      <c r="R97" s="63"/>
      <c r="S97" s="63"/>
      <c r="T97" s="63"/>
      <c r="U97" s="63"/>
      <c r="V97" s="63"/>
      <c r="W97" s="63"/>
      <c r="X97" s="63"/>
      <c r="Y97" s="63"/>
      <c r="Z97" s="63"/>
    </row>
    <row r="98" spans="5:26" x14ac:dyDescent="0.4">
      <c r="E98" s="63"/>
      <c r="F98" s="63"/>
      <c r="G98" s="63"/>
      <c r="H98" s="63"/>
      <c r="I98" s="63"/>
      <c r="J98" s="63"/>
      <c r="K98" s="63"/>
      <c r="L98" s="63"/>
      <c r="M98" s="63"/>
      <c r="N98" s="63"/>
      <c r="O98" s="63"/>
      <c r="P98" s="63"/>
      <c r="Q98" s="63"/>
      <c r="R98" s="63"/>
      <c r="S98" s="63"/>
      <c r="T98" s="63"/>
      <c r="U98" s="63"/>
      <c r="V98" s="63"/>
      <c r="W98" s="63"/>
      <c r="X98" s="63"/>
      <c r="Y98" s="63"/>
      <c r="Z98" s="63"/>
    </row>
    <row r="99" spans="5:26" x14ac:dyDescent="0.4">
      <c r="E99" s="63"/>
      <c r="F99" s="63"/>
      <c r="G99" s="63"/>
      <c r="H99" s="63"/>
      <c r="I99" s="63"/>
      <c r="J99" s="63"/>
      <c r="K99" s="63"/>
      <c r="L99" s="63"/>
      <c r="M99" s="63"/>
      <c r="N99" s="63"/>
      <c r="O99" s="63"/>
      <c r="P99" s="63"/>
      <c r="Q99" s="63"/>
      <c r="R99" s="63"/>
      <c r="S99" s="63"/>
      <c r="T99" s="63"/>
      <c r="U99" s="63"/>
      <c r="V99" s="63"/>
      <c r="W99" s="63"/>
      <c r="X99" s="63"/>
      <c r="Y99" s="63"/>
      <c r="Z99" s="63"/>
    </row>
    <row r="100" spans="5:26" x14ac:dyDescent="0.4">
      <c r="E100" s="63"/>
      <c r="F100" s="63"/>
      <c r="G100" s="63"/>
      <c r="H100" s="63"/>
      <c r="I100" s="63"/>
      <c r="J100" s="63"/>
      <c r="K100" s="63"/>
      <c r="L100" s="63"/>
      <c r="M100" s="63"/>
      <c r="N100" s="63"/>
      <c r="O100" s="63"/>
      <c r="P100" s="63"/>
      <c r="Q100" s="63"/>
      <c r="R100" s="63"/>
      <c r="S100" s="63"/>
      <c r="T100" s="63"/>
      <c r="U100" s="63"/>
      <c r="V100" s="63"/>
      <c r="W100" s="63"/>
      <c r="X100" s="63"/>
      <c r="Y100" s="63"/>
      <c r="Z100" s="63"/>
    </row>
    <row r="101" spans="5:26" x14ac:dyDescent="0.4">
      <c r="E101" s="63"/>
      <c r="F101" s="63"/>
      <c r="G101" s="63"/>
      <c r="H101" s="63"/>
      <c r="I101" s="63"/>
      <c r="J101" s="63"/>
      <c r="K101" s="63"/>
      <c r="L101" s="63"/>
      <c r="M101" s="63"/>
      <c r="N101" s="63"/>
      <c r="O101" s="63"/>
      <c r="P101" s="63"/>
      <c r="Q101" s="63"/>
      <c r="R101" s="63"/>
      <c r="S101" s="63"/>
      <c r="T101" s="63"/>
      <c r="U101" s="63"/>
      <c r="V101" s="63"/>
      <c r="W101" s="63"/>
      <c r="X101" s="63"/>
      <c r="Y101" s="63"/>
      <c r="Z101" s="63"/>
    </row>
    <row r="102" spans="5:26" x14ac:dyDescent="0.4">
      <c r="E102" s="63"/>
      <c r="F102" s="63"/>
      <c r="G102" s="63"/>
      <c r="H102" s="63"/>
      <c r="I102" s="63"/>
      <c r="J102" s="63"/>
      <c r="K102" s="63"/>
      <c r="L102" s="63"/>
      <c r="M102" s="63"/>
      <c r="N102" s="63"/>
      <c r="O102" s="63"/>
      <c r="P102" s="63"/>
      <c r="Q102" s="63"/>
      <c r="R102" s="63"/>
      <c r="S102" s="63"/>
      <c r="T102" s="63"/>
      <c r="U102" s="63"/>
      <c r="V102" s="63"/>
      <c r="W102" s="63"/>
      <c r="X102" s="63"/>
      <c r="Y102" s="63"/>
      <c r="Z102" s="63"/>
    </row>
    <row r="103" spans="5:26" x14ac:dyDescent="0.4">
      <c r="E103" s="63"/>
      <c r="F103" s="63"/>
      <c r="G103" s="63"/>
      <c r="H103" s="63"/>
      <c r="I103" s="63"/>
      <c r="J103" s="63"/>
      <c r="K103" s="63"/>
      <c r="L103" s="63"/>
      <c r="M103" s="63"/>
      <c r="N103" s="63"/>
      <c r="O103" s="63"/>
      <c r="P103" s="63"/>
      <c r="Q103" s="63"/>
      <c r="R103" s="63"/>
      <c r="S103" s="63"/>
      <c r="T103" s="63"/>
      <c r="U103" s="63"/>
      <c r="V103" s="63"/>
      <c r="W103" s="63"/>
      <c r="X103" s="63"/>
      <c r="Y103" s="63"/>
      <c r="Z103" s="63"/>
    </row>
    <row r="104" spans="5:26" x14ac:dyDescent="0.4">
      <c r="E104" s="63"/>
      <c r="F104" s="63"/>
      <c r="G104" s="63"/>
      <c r="H104" s="63"/>
      <c r="I104" s="63"/>
      <c r="J104" s="63"/>
      <c r="K104" s="63"/>
      <c r="L104" s="63"/>
      <c r="M104" s="63"/>
      <c r="N104" s="63"/>
      <c r="O104" s="63"/>
      <c r="P104" s="63"/>
      <c r="Q104" s="63"/>
      <c r="R104" s="63"/>
      <c r="S104" s="63"/>
      <c r="T104" s="63"/>
      <c r="U104" s="63"/>
      <c r="V104" s="63"/>
      <c r="W104" s="63"/>
      <c r="X104" s="63"/>
      <c r="Y104" s="63"/>
      <c r="Z104" s="63"/>
    </row>
    <row r="105" spans="5:26" x14ac:dyDescent="0.4">
      <c r="E105" s="63"/>
      <c r="F105" s="63"/>
      <c r="G105" s="63"/>
      <c r="H105" s="63"/>
      <c r="I105" s="63"/>
      <c r="J105" s="63"/>
      <c r="K105" s="63"/>
      <c r="L105" s="63"/>
      <c r="M105" s="63"/>
      <c r="N105" s="63"/>
      <c r="O105" s="63"/>
      <c r="P105" s="63"/>
      <c r="Q105" s="63"/>
      <c r="R105" s="63"/>
      <c r="S105" s="63"/>
      <c r="T105" s="63"/>
      <c r="U105" s="63"/>
      <c r="V105" s="63"/>
      <c r="W105" s="63"/>
      <c r="X105" s="63"/>
      <c r="Y105" s="63"/>
      <c r="Z105" s="63"/>
    </row>
    <row r="106" spans="5:26" x14ac:dyDescent="0.4">
      <c r="E106" s="63"/>
      <c r="F106" s="63"/>
      <c r="G106" s="63"/>
      <c r="H106" s="63"/>
      <c r="I106" s="63"/>
      <c r="J106" s="63"/>
      <c r="K106" s="63"/>
      <c r="L106" s="63"/>
      <c r="M106" s="63"/>
      <c r="N106" s="63"/>
      <c r="O106" s="63"/>
      <c r="P106" s="63"/>
      <c r="Q106" s="63"/>
      <c r="R106" s="63"/>
      <c r="S106" s="63"/>
      <c r="T106" s="63"/>
      <c r="U106" s="63"/>
      <c r="V106" s="63"/>
      <c r="W106" s="63"/>
      <c r="X106" s="63"/>
      <c r="Y106" s="63"/>
      <c r="Z106" s="63"/>
    </row>
    <row r="107" spans="5:26" x14ac:dyDescent="0.4">
      <c r="E107" s="63"/>
      <c r="F107" s="63"/>
      <c r="G107" s="63"/>
      <c r="H107" s="63"/>
      <c r="I107" s="63"/>
      <c r="J107" s="63"/>
      <c r="K107" s="63"/>
      <c r="L107" s="63"/>
      <c r="M107" s="63"/>
      <c r="N107" s="63"/>
      <c r="O107" s="63"/>
      <c r="P107" s="63"/>
      <c r="Q107" s="63"/>
      <c r="R107" s="63"/>
      <c r="S107" s="63"/>
      <c r="T107" s="63"/>
      <c r="U107" s="63"/>
      <c r="V107" s="63"/>
      <c r="W107" s="63"/>
      <c r="X107" s="63"/>
      <c r="Y107" s="63"/>
      <c r="Z107" s="63"/>
    </row>
    <row r="108" spans="5:26" x14ac:dyDescent="0.4">
      <c r="E108" s="63"/>
      <c r="F108" s="63"/>
      <c r="G108" s="63"/>
      <c r="H108" s="63"/>
      <c r="I108" s="63"/>
      <c r="J108" s="63"/>
      <c r="K108" s="63"/>
      <c r="L108" s="63"/>
      <c r="M108" s="63"/>
      <c r="N108" s="63"/>
      <c r="O108" s="63"/>
      <c r="P108" s="63"/>
      <c r="Q108" s="63"/>
      <c r="R108" s="63"/>
      <c r="S108" s="63"/>
      <c r="T108" s="63"/>
      <c r="U108" s="63"/>
      <c r="V108" s="63"/>
      <c r="W108" s="63"/>
      <c r="X108" s="63"/>
      <c r="Y108" s="63"/>
      <c r="Z108" s="63"/>
    </row>
    <row r="109" spans="5:26" x14ac:dyDescent="0.4">
      <c r="E109" s="63"/>
      <c r="F109" s="63"/>
      <c r="G109" s="63"/>
      <c r="H109" s="63"/>
      <c r="I109" s="63"/>
      <c r="J109" s="63"/>
      <c r="K109" s="63"/>
      <c r="L109" s="63"/>
      <c r="M109" s="63"/>
      <c r="N109" s="63"/>
      <c r="O109" s="63"/>
      <c r="P109" s="63"/>
      <c r="Q109" s="63"/>
      <c r="R109" s="63"/>
      <c r="S109" s="63"/>
      <c r="T109" s="63"/>
      <c r="U109" s="63"/>
      <c r="V109" s="63"/>
      <c r="W109" s="63"/>
      <c r="X109" s="63"/>
      <c r="Y109" s="63"/>
      <c r="Z109" s="63"/>
    </row>
    <row r="110" spans="5:26" x14ac:dyDescent="0.4">
      <c r="E110" s="63"/>
      <c r="F110" s="63"/>
      <c r="G110" s="63"/>
      <c r="H110" s="63"/>
      <c r="I110" s="63"/>
      <c r="J110" s="63"/>
      <c r="K110" s="63"/>
      <c r="L110" s="63"/>
      <c r="M110" s="63"/>
      <c r="N110" s="63"/>
      <c r="O110" s="63"/>
      <c r="P110" s="63"/>
      <c r="Q110" s="63"/>
      <c r="R110" s="63"/>
      <c r="S110" s="63"/>
      <c r="T110" s="63"/>
      <c r="U110" s="63"/>
      <c r="V110" s="63"/>
      <c r="W110" s="63"/>
      <c r="X110" s="63"/>
      <c r="Y110" s="63"/>
      <c r="Z110" s="63"/>
    </row>
    <row r="111" spans="5:26" x14ac:dyDescent="0.4">
      <c r="E111" s="63"/>
      <c r="F111" s="63"/>
      <c r="G111" s="63"/>
      <c r="H111" s="63"/>
      <c r="I111" s="63"/>
      <c r="J111" s="63"/>
      <c r="K111" s="63"/>
      <c r="L111" s="63"/>
      <c r="M111" s="63"/>
      <c r="N111" s="63"/>
      <c r="O111" s="63"/>
      <c r="P111" s="63"/>
      <c r="Q111" s="63"/>
      <c r="R111" s="63"/>
      <c r="S111" s="63"/>
      <c r="T111" s="63"/>
      <c r="U111" s="63"/>
      <c r="V111" s="63"/>
      <c r="W111" s="63"/>
      <c r="X111" s="63"/>
      <c r="Y111" s="63"/>
      <c r="Z111" s="63"/>
    </row>
    <row r="112" spans="5:26" x14ac:dyDescent="0.4">
      <c r="E112" s="63"/>
      <c r="F112" s="63"/>
      <c r="G112" s="63"/>
      <c r="H112" s="63"/>
      <c r="I112" s="63"/>
      <c r="J112" s="63"/>
      <c r="K112" s="63"/>
      <c r="L112" s="63"/>
      <c r="M112" s="63"/>
      <c r="N112" s="63"/>
      <c r="O112" s="63"/>
      <c r="P112" s="63"/>
      <c r="Q112" s="63"/>
      <c r="R112" s="63"/>
      <c r="S112" s="63"/>
      <c r="T112" s="63"/>
      <c r="U112" s="63"/>
      <c r="V112" s="63"/>
      <c r="W112" s="63"/>
      <c r="X112" s="63"/>
      <c r="Y112" s="63"/>
      <c r="Z112" s="63"/>
    </row>
    <row r="113" spans="5:26" x14ac:dyDescent="0.4">
      <c r="E113" s="63"/>
      <c r="F113" s="63"/>
      <c r="G113" s="63"/>
      <c r="H113" s="63"/>
      <c r="I113" s="63"/>
      <c r="J113" s="63"/>
      <c r="K113" s="63"/>
      <c r="L113" s="63"/>
      <c r="M113" s="63"/>
      <c r="N113" s="63"/>
      <c r="O113" s="63"/>
      <c r="P113" s="63"/>
      <c r="Q113" s="63"/>
      <c r="R113" s="63"/>
      <c r="S113" s="63"/>
      <c r="T113" s="63"/>
      <c r="U113" s="63"/>
      <c r="V113" s="63"/>
      <c r="W113" s="63"/>
      <c r="X113" s="63"/>
      <c r="Y113" s="63"/>
      <c r="Z113" s="63"/>
    </row>
    <row r="114" spans="5:26" x14ac:dyDescent="0.4">
      <c r="E114" s="63"/>
      <c r="F114" s="63"/>
      <c r="G114" s="63"/>
      <c r="H114" s="63"/>
      <c r="I114" s="63"/>
      <c r="J114" s="63"/>
      <c r="K114" s="63"/>
      <c r="L114" s="63"/>
      <c r="M114" s="63"/>
      <c r="N114" s="63"/>
      <c r="O114" s="63"/>
      <c r="P114" s="63"/>
      <c r="Q114" s="63"/>
      <c r="R114" s="63"/>
      <c r="S114" s="63"/>
      <c r="T114" s="63"/>
      <c r="U114" s="63"/>
      <c r="V114" s="63"/>
      <c r="W114" s="63"/>
      <c r="X114" s="63"/>
      <c r="Y114" s="63"/>
      <c r="Z114" s="63"/>
    </row>
    <row r="115" spans="5:26" x14ac:dyDescent="0.4">
      <c r="E115" s="63"/>
      <c r="F115" s="63"/>
      <c r="G115" s="63"/>
      <c r="H115" s="63"/>
      <c r="I115" s="63"/>
      <c r="J115" s="63"/>
      <c r="K115" s="63"/>
      <c r="L115" s="63"/>
      <c r="M115" s="63"/>
      <c r="N115" s="63"/>
      <c r="O115" s="63"/>
      <c r="P115" s="63"/>
      <c r="Q115" s="63"/>
      <c r="R115" s="63"/>
      <c r="S115" s="63"/>
      <c r="T115" s="63"/>
      <c r="U115" s="63"/>
      <c r="V115" s="63"/>
      <c r="W115" s="63"/>
      <c r="X115" s="63"/>
      <c r="Y115" s="63"/>
      <c r="Z115" s="63"/>
    </row>
    <row r="116" spans="5:26" x14ac:dyDescent="0.4">
      <c r="E116" s="63"/>
      <c r="F116" s="63"/>
      <c r="G116" s="63"/>
      <c r="H116" s="63"/>
      <c r="I116" s="63"/>
      <c r="J116" s="63"/>
      <c r="K116" s="63"/>
      <c r="L116" s="63"/>
      <c r="M116" s="63"/>
      <c r="N116" s="63"/>
      <c r="O116" s="63"/>
      <c r="P116" s="63"/>
      <c r="Q116" s="63"/>
      <c r="R116" s="63"/>
      <c r="S116" s="63"/>
      <c r="T116" s="63"/>
      <c r="U116" s="63"/>
      <c r="V116" s="63"/>
      <c r="W116" s="63"/>
      <c r="X116" s="63"/>
      <c r="Y116" s="63"/>
      <c r="Z116" s="63"/>
    </row>
    <row r="117" spans="5:26" x14ac:dyDescent="0.4">
      <c r="E117" s="63"/>
      <c r="F117" s="63"/>
      <c r="G117" s="63"/>
      <c r="H117" s="63"/>
      <c r="I117" s="63"/>
      <c r="J117" s="63"/>
      <c r="K117" s="63"/>
      <c r="L117" s="63"/>
      <c r="M117" s="63"/>
      <c r="N117" s="63"/>
      <c r="O117" s="63"/>
      <c r="P117" s="63"/>
      <c r="Q117" s="63"/>
      <c r="R117" s="63"/>
      <c r="S117" s="63"/>
      <c r="T117" s="63"/>
      <c r="U117" s="63"/>
      <c r="V117" s="63"/>
      <c r="W117" s="63"/>
      <c r="X117" s="63"/>
      <c r="Y117" s="63"/>
      <c r="Z117" s="63"/>
    </row>
    <row r="118" spans="5:26" x14ac:dyDescent="0.4">
      <c r="E118" s="63"/>
      <c r="F118" s="63"/>
      <c r="G118" s="63"/>
      <c r="H118" s="63"/>
      <c r="I118" s="63"/>
      <c r="J118" s="63"/>
      <c r="K118" s="63"/>
      <c r="L118" s="63"/>
      <c r="M118" s="63"/>
      <c r="N118" s="63"/>
      <c r="O118" s="63"/>
      <c r="P118" s="63"/>
      <c r="Q118" s="63"/>
      <c r="R118" s="63"/>
      <c r="S118" s="63"/>
      <c r="T118" s="63"/>
      <c r="U118" s="63"/>
      <c r="V118" s="63"/>
      <c r="W118" s="63"/>
      <c r="X118" s="63"/>
      <c r="Y118" s="63"/>
      <c r="Z118" s="63"/>
    </row>
    <row r="119" spans="5:26" x14ac:dyDescent="0.4">
      <c r="E119" s="63"/>
      <c r="F119" s="63"/>
      <c r="G119" s="63"/>
      <c r="H119" s="63"/>
      <c r="I119" s="63"/>
      <c r="J119" s="63"/>
      <c r="K119" s="63"/>
      <c r="L119" s="63"/>
      <c r="M119" s="63"/>
      <c r="N119" s="63"/>
      <c r="O119" s="63"/>
      <c r="P119" s="63"/>
      <c r="Q119" s="63"/>
      <c r="R119" s="63"/>
      <c r="S119" s="63"/>
      <c r="T119" s="63"/>
      <c r="U119" s="63"/>
      <c r="V119" s="63"/>
      <c r="W119" s="63"/>
      <c r="X119" s="63"/>
      <c r="Y119" s="63"/>
      <c r="Z119" s="63"/>
    </row>
    <row r="120" spans="5:26" x14ac:dyDescent="0.4">
      <c r="E120" s="63"/>
      <c r="F120" s="63"/>
      <c r="G120" s="63"/>
      <c r="H120" s="63"/>
      <c r="I120" s="63"/>
      <c r="J120" s="63"/>
      <c r="K120" s="63"/>
      <c r="L120" s="63"/>
      <c r="M120" s="63"/>
      <c r="N120" s="63"/>
      <c r="O120" s="63"/>
      <c r="P120" s="63"/>
      <c r="Q120" s="63"/>
      <c r="R120" s="63"/>
      <c r="S120" s="63"/>
      <c r="T120" s="63"/>
      <c r="U120" s="63"/>
      <c r="V120" s="63"/>
      <c r="W120" s="63"/>
      <c r="X120" s="63"/>
      <c r="Y120" s="63"/>
      <c r="Z120" s="63"/>
    </row>
    <row r="121" spans="5:26" x14ac:dyDescent="0.4">
      <c r="E121" s="63"/>
      <c r="F121" s="63"/>
      <c r="G121" s="63"/>
      <c r="H121" s="63"/>
      <c r="I121" s="63"/>
      <c r="J121" s="63"/>
      <c r="K121" s="63"/>
      <c r="L121" s="63"/>
      <c r="M121" s="63"/>
      <c r="N121" s="63"/>
      <c r="O121" s="63"/>
      <c r="P121" s="63"/>
      <c r="Q121" s="63"/>
      <c r="R121" s="63"/>
      <c r="S121" s="63"/>
      <c r="T121" s="63"/>
      <c r="U121" s="63"/>
      <c r="V121" s="63"/>
      <c r="W121" s="63"/>
      <c r="X121" s="63"/>
      <c r="Y121" s="63"/>
      <c r="Z121" s="63"/>
    </row>
    <row r="122" spans="5:26" x14ac:dyDescent="0.4">
      <c r="E122" s="63"/>
      <c r="F122" s="63"/>
      <c r="G122" s="63"/>
      <c r="H122" s="63"/>
      <c r="I122" s="63"/>
      <c r="J122" s="63"/>
      <c r="K122" s="63"/>
      <c r="L122" s="63"/>
      <c r="M122" s="63"/>
      <c r="N122" s="63"/>
      <c r="O122" s="63"/>
      <c r="P122" s="63"/>
      <c r="Q122" s="63"/>
      <c r="R122" s="63"/>
      <c r="S122" s="63"/>
      <c r="T122" s="63"/>
      <c r="U122" s="63"/>
      <c r="V122" s="63"/>
      <c r="W122" s="63"/>
      <c r="X122" s="63"/>
      <c r="Y122" s="63"/>
      <c r="Z122" s="63"/>
    </row>
    <row r="123" spans="5:26" x14ac:dyDescent="0.4">
      <c r="E123" s="63"/>
      <c r="F123" s="63"/>
      <c r="G123" s="63"/>
      <c r="H123" s="63"/>
      <c r="I123" s="63"/>
      <c r="J123" s="63"/>
      <c r="K123" s="63"/>
      <c r="L123" s="63"/>
      <c r="M123" s="63"/>
      <c r="N123" s="63"/>
      <c r="O123" s="63"/>
      <c r="P123" s="63"/>
      <c r="Q123" s="63"/>
      <c r="R123" s="63"/>
      <c r="S123" s="63"/>
      <c r="T123" s="63"/>
      <c r="U123" s="63"/>
      <c r="V123" s="63"/>
      <c r="W123" s="63"/>
      <c r="X123" s="63"/>
      <c r="Y123" s="63"/>
      <c r="Z123" s="63"/>
    </row>
    <row r="124" spans="5:26" x14ac:dyDescent="0.4">
      <c r="E124" s="63"/>
      <c r="F124" s="63"/>
      <c r="G124" s="63"/>
      <c r="H124" s="63"/>
      <c r="I124" s="63"/>
      <c r="J124" s="63"/>
      <c r="K124" s="63"/>
      <c r="L124" s="63"/>
      <c r="M124" s="63"/>
      <c r="N124" s="63"/>
      <c r="O124" s="63"/>
      <c r="P124" s="63"/>
      <c r="Q124" s="63"/>
      <c r="R124" s="63"/>
      <c r="S124" s="63"/>
      <c r="T124" s="63"/>
      <c r="U124" s="63"/>
      <c r="V124" s="63"/>
      <c r="W124" s="63"/>
      <c r="X124" s="63"/>
      <c r="Y124" s="63"/>
      <c r="Z124" s="63"/>
    </row>
    <row r="125" spans="5:26" x14ac:dyDescent="0.4">
      <c r="E125" s="63"/>
      <c r="F125" s="63"/>
      <c r="G125" s="63"/>
      <c r="H125" s="63"/>
      <c r="I125" s="63"/>
      <c r="J125" s="63"/>
      <c r="K125" s="63"/>
      <c r="L125" s="63"/>
      <c r="M125" s="63"/>
      <c r="N125" s="63"/>
      <c r="O125" s="63"/>
      <c r="P125" s="63"/>
      <c r="Q125" s="63"/>
      <c r="R125" s="63"/>
      <c r="S125" s="63"/>
      <c r="T125" s="63"/>
      <c r="U125" s="63"/>
      <c r="V125" s="63"/>
      <c r="W125" s="63"/>
      <c r="X125" s="63"/>
      <c r="Y125" s="63"/>
      <c r="Z125" s="63"/>
    </row>
    <row r="126" spans="5:26" x14ac:dyDescent="0.4">
      <c r="E126" s="63"/>
      <c r="F126" s="63"/>
      <c r="G126" s="63"/>
      <c r="H126" s="63"/>
      <c r="I126" s="63"/>
      <c r="J126" s="63"/>
      <c r="K126" s="63"/>
      <c r="L126" s="63"/>
      <c r="M126" s="63"/>
      <c r="N126" s="63"/>
      <c r="O126" s="63"/>
      <c r="P126" s="63"/>
      <c r="Q126" s="63"/>
      <c r="R126" s="63"/>
      <c r="S126" s="63"/>
      <c r="T126" s="63"/>
      <c r="U126" s="63"/>
      <c r="V126" s="63"/>
      <c r="W126" s="63"/>
      <c r="X126" s="63"/>
      <c r="Y126" s="63"/>
      <c r="Z126" s="63"/>
    </row>
    <row r="127" spans="5:26" x14ac:dyDescent="0.4">
      <c r="E127" s="63"/>
      <c r="F127" s="63"/>
      <c r="G127" s="63"/>
      <c r="H127" s="63"/>
      <c r="I127" s="63"/>
      <c r="J127" s="63"/>
      <c r="K127" s="63"/>
      <c r="L127" s="63"/>
      <c r="M127" s="63"/>
      <c r="N127" s="63"/>
      <c r="O127" s="63"/>
      <c r="P127" s="63"/>
      <c r="Q127" s="63"/>
      <c r="R127" s="63"/>
      <c r="S127" s="63"/>
      <c r="T127" s="63"/>
      <c r="U127" s="63"/>
      <c r="V127" s="63"/>
      <c r="W127" s="63"/>
      <c r="X127" s="63"/>
      <c r="Y127" s="63"/>
      <c r="Z127" s="63"/>
    </row>
    <row r="128" spans="5:26" x14ac:dyDescent="0.4">
      <c r="E128" s="63"/>
      <c r="F128" s="63"/>
      <c r="G128" s="63"/>
      <c r="H128" s="63"/>
      <c r="I128" s="63"/>
      <c r="J128" s="63"/>
      <c r="K128" s="63"/>
      <c r="L128" s="63"/>
      <c r="M128" s="63"/>
      <c r="N128" s="63"/>
      <c r="O128" s="63"/>
      <c r="P128" s="63"/>
      <c r="Q128" s="63"/>
      <c r="R128" s="63"/>
      <c r="S128" s="63"/>
      <c r="T128" s="63"/>
      <c r="U128" s="63"/>
      <c r="V128" s="63"/>
      <c r="W128" s="63"/>
      <c r="X128" s="63"/>
      <c r="Y128" s="63"/>
      <c r="Z128" s="63"/>
    </row>
    <row r="129" spans="5:26" x14ac:dyDescent="0.4">
      <c r="E129" s="63"/>
      <c r="F129" s="63"/>
      <c r="G129" s="63"/>
      <c r="H129" s="63"/>
      <c r="I129" s="63"/>
      <c r="J129" s="63"/>
      <c r="K129" s="63"/>
      <c r="L129" s="63"/>
      <c r="M129" s="63"/>
      <c r="N129" s="63"/>
      <c r="O129" s="63"/>
      <c r="P129" s="63"/>
      <c r="Q129" s="63"/>
      <c r="R129" s="63"/>
      <c r="S129" s="63"/>
      <c r="T129" s="63"/>
      <c r="U129" s="63"/>
      <c r="V129" s="63"/>
      <c r="W129" s="63"/>
      <c r="X129" s="63"/>
      <c r="Y129" s="63"/>
      <c r="Z129" s="63"/>
    </row>
    <row r="130" spans="5:26" x14ac:dyDescent="0.4">
      <c r="E130" s="63"/>
      <c r="F130" s="63"/>
      <c r="G130" s="63"/>
      <c r="H130" s="63"/>
      <c r="I130" s="63"/>
      <c r="J130" s="63"/>
      <c r="K130" s="63"/>
      <c r="L130" s="63"/>
      <c r="M130" s="63"/>
      <c r="N130" s="63"/>
      <c r="O130" s="63"/>
      <c r="P130" s="63"/>
      <c r="Q130" s="63"/>
      <c r="R130" s="63"/>
      <c r="S130" s="63"/>
      <c r="T130" s="63"/>
      <c r="U130" s="63"/>
      <c r="V130" s="63"/>
      <c r="W130" s="63"/>
      <c r="X130" s="63"/>
      <c r="Y130" s="63"/>
      <c r="Z130" s="63"/>
    </row>
    <row r="131" spans="5:26" x14ac:dyDescent="0.4">
      <c r="E131" s="63"/>
      <c r="F131" s="63"/>
      <c r="G131" s="63"/>
      <c r="H131" s="63"/>
      <c r="I131" s="63"/>
      <c r="J131" s="63"/>
      <c r="K131" s="63"/>
      <c r="L131" s="63"/>
      <c r="M131" s="63"/>
      <c r="N131" s="63"/>
      <c r="O131" s="63"/>
      <c r="P131" s="63"/>
      <c r="Q131" s="63"/>
      <c r="R131" s="63"/>
      <c r="S131" s="63"/>
      <c r="T131" s="63"/>
      <c r="U131" s="63"/>
      <c r="V131" s="63"/>
      <c r="W131" s="63"/>
      <c r="X131" s="63"/>
      <c r="Y131" s="63"/>
      <c r="Z131" s="63"/>
    </row>
    <row r="132" spans="5:26" x14ac:dyDescent="0.4">
      <c r="E132" s="63"/>
      <c r="F132" s="63"/>
      <c r="G132" s="63"/>
      <c r="H132" s="63"/>
      <c r="I132" s="63"/>
      <c r="J132" s="63"/>
      <c r="K132" s="63"/>
      <c r="L132" s="63"/>
      <c r="M132" s="63"/>
      <c r="N132" s="63"/>
      <c r="O132" s="63"/>
      <c r="P132" s="63"/>
      <c r="Q132" s="63"/>
      <c r="R132" s="63"/>
      <c r="S132" s="63"/>
      <c r="T132" s="63"/>
      <c r="U132" s="63"/>
      <c r="V132" s="63"/>
      <c r="W132" s="63"/>
      <c r="X132" s="63"/>
      <c r="Y132" s="63"/>
      <c r="Z132" s="63"/>
    </row>
    <row r="133" spans="5:26" x14ac:dyDescent="0.4">
      <c r="E133" s="63"/>
      <c r="F133" s="63"/>
      <c r="G133" s="63"/>
      <c r="H133" s="63"/>
      <c r="I133" s="63"/>
      <c r="J133" s="63"/>
      <c r="K133" s="63"/>
      <c r="L133" s="63"/>
      <c r="M133" s="63"/>
      <c r="N133" s="63"/>
      <c r="O133" s="63"/>
      <c r="P133" s="63"/>
      <c r="Q133" s="63"/>
      <c r="R133" s="63"/>
      <c r="S133" s="63"/>
      <c r="T133" s="63"/>
      <c r="U133" s="63"/>
      <c r="V133" s="63"/>
      <c r="W133" s="63"/>
      <c r="X133" s="63"/>
      <c r="Y133" s="63"/>
      <c r="Z133" s="63"/>
    </row>
    <row r="134" spans="5:26" x14ac:dyDescent="0.4">
      <c r="E134" s="63"/>
      <c r="F134" s="63"/>
      <c r="G134" s="63"/>
      <c r="H134" s="63"/>
      <c r="I134" s="63"/>
      <c r="J134" s="63"/>
      <c r="K134" s="63"/>
      <c r="L134" s="63"/>
      <c r="M134" s="63"/>
      <c r="N134" s="63"/>
      <c r="O134" s="63"/>
      <c r="P134" s="63"/>
      <c r="Q134" s="63"/>
      <c r="R134" s="63"/>
      <c r="S134" s="63"/>
      <c r="T134" s="63"/>
      <c r="U134" s="63"/>
      <c r="V134" s="63"/>
      <c r="W134" s="63"/>
      <c r="X134" s="63"/>
      <c r="Y134" s="63"/>
      <c r="Z134" s="63"/>
    </row>
    <row r="135" spans="5:26" x14ac:dyDescent="0.4">
      <c r="E135" s="63"/>
      <c r="F135" s="63"/>
      <c r="G135" s="63"/>
      <c r="H135" s="63"/>
      <c r="I135" s="63"/>
      <c r="J135" s="63"/>
      <c r="K135" s="63"/>
      <c r="L135" s="63"/>
      <c r="M135" s="63"/>
      <c r="N135" s="63"/>
      <c r="O135" s="63"/>
      <c r="P135" s="63"/>
      <c r="Q135" s="63"/>
      <c r="R135" s="63"/>
      <c r="S135" s="63"/>
      <c r="T135" s="63"/>
      <c r="U135" s="63"/>
      <c r="V135" s="63"/>
      <c r="W135" s="63"/>
      <c r="X135" s="63"/>
      <c r="Y135" s="63"/>
      <c r="Z135" s="63"/>
    </row>
    <row r="136" spans="5:26" x14ac:dyDescent="0.4">
      <c r="E136" s="63"/>
      <c r="F136" s="63"/>
      <c r="G136" s="63"/>
      <c r="H136" s="63"/>
      <c r="I136" s="63"/>
      <c r="J136" s="63"/>
      <c r="K136" s="63"/>
      <c r="L136" s="63"/>
      <c r="M136" s="63"/>
      <c r="N136" s="63"/>
      <c r="O136" s="63"/>
      <c r="P136" s="63"/>
      <c r="Q136" s="63"/>
      <c r="R136" s="63"/>
      <c r="S136" s="63"/>
      <c r="T136" s="63"/>
      <c r="U136" s="63"/>
      <c r="V136" s="63"/>
      <c r="W136" s="63"/>
      <c r="X136" s="63"/>
      <c r="Y136" s="63"/>
      <c r="Z136" s="63"/>
    </row>
    <row r="137" spans="5:26" x14ac:dyDescent="0.4">
      <c r="E137" s="63"/>
      <c r="F137" s="63"/>
      <c r="G137" s="63"/>
      <c r="H137" s="63"/>
      <c r="I137" s="63"/>
      <c r="J137" s="63"/>
      <c r="K137" s="63"/>
      <c r="L137" s="63"/>
      <c r="M137" s="63"/>
      <c r="N137" s="63"/>
      <c r="O137" s="63"/>
      <c r="P137" s="63"/>
      <c r="Q137" s="63"/>
      <c r="R137" s="63"/>
      <c r="S137" s="63"/>
      <c r="T137" s="63"/>
      <c r="U137" s="63"/>
      <c r="V137" s="63"/>
      <c r="W137" s="63"/>
      <c r="X137" s="63"/>
      <c r="Y137" s="63"/>
      <c r="Z137" s="63"/>
    </row>
    <row r="138" spans="5:26" x14ac:dyDescent="0.4">
      <c r="E138" s="63"/>
      <c r="F138" s="63"/>
      <c r="G138" s="63"/>
      <c r="H138" s="63"/>
      <c r="I138" s="63"/>
      <c r="J138" s="63"/>
      <c r="K138" s="63"/>
      <c r="L138" s="63"/>
      <c r="M138" s="63"/>
      <c r="N138" s="63"/>
      <c r="O138" s="63"/>
      <c r="P138" s="63"/>
      <c r="Q138" s="63"/>
      <c r="R138" s="63"/>
      <c r="S138" s="63"/>
      <c r="T138" s="63"/>
      <c r="U138" s="63"/>
      <c r="V138" s="63"/>
      <c r="W138" s="63"/>
      <c r="X138" s="63"/>
      <c r="Y138" s="63"/>
      <c r="Z138" s="63"/>
    </row>
    <row r="139" spans="5:26" x14ac:dyDescent="0.4">
      <c r="E139" s="63"/>
      <c r="F139" s="63"/>
      <c r="G139" s="63"/>
      <c r="H139" s="63"/>
      <c r="I139" s="63"/>
      <c r="J139" s="63"/>
      <c r="K139" s="63"/>
      <c r="L139" s="63"/>
      <c r="M139" s="63"/>
      <c r="N139" s="63"/>
      <c r="O139" s="63"/>
      <c r="P139" s="63"/>
      <c r="Q139" s="63"/>
      <c r="R139" s="63"/>
      <c r="S139" s="63"/>
      <c r="T139" s="63"/>
      <c r="U139" s="63"/>
      <c r="V139" s="63"/>
      <c r="W139" s="63"/>
      <c r="X139" s="63"/>
      <c r="Y139" s="63"/>
      <c r="Z139" s="63"/>
    </row>
    <row r="140" spans="5:26" x14ac:dyDescent="0.4">
      <c r="E140" s="63"/>
      <c r="F140" s="63"/>
      <c r="G140" s="63"/>
      <c r="H140" s="63"/>
      <c r="I140" s="63"/>
      <c r="J140" s="63"/>
      <c r="K140" s="63"/>
      <c r="L140" s="63"/>
      <c r="M140" s="63"/>
      <c r="N140" s="63"/>
      <c r="O140" s="63"/>
      <c r="P140" s="63"/>
      <c r="Q140" s="63"/>
      <c r="R140" s="63"/>
      <c r="S140" s="63"/>
      <c r="T140" s="63"/>
      <c r="U140" s="63"/>
      <c r="V140" s="63"/>
      <c r="W140" s="63"/>
      <c r="X140" s="63"/>
      <c r="Y140" s="63"/>
      <c r="Z140" s="63"/>
    </row>
    <row r="141" spans="5:26" x14ac:dyDescent="0.4">
      <c r="E141" s="63"/>
      <c r="F141" s="63"/>
      <c r="G141" s="63"/>
      <c r="H141" s="63"/>
      <c r="I141" s="63"/>
      <c r="J141" s="63"/>
      <c r="K141" s="63"/>
      <c r="L141" s="63"/>
      <c r="M141" s="63"/>
      <c r="N141" s="63"/>
      <c r="O141" s="63"/>
      <c r="P141" s="63"/>
      <c r="Q141" s="63"/>
      <c r="R141" s="63"/>
      <c r="S141" s="63"/>
      <c r="T141" s="63"/>
      <c r="U141" s="63"/>
      <c r="V141" s="63"/>
      <c r="W141" s="63"/>
      <c r="X141" s="63"/>
      <c r="Y141" s="63"/>
      <c r="Z141" s="63"/>
    </row>
    <row r="142" spans="5:26" x14ac:dyDescent="0.4">
      <c r="E142" s="63"/>
      <c r="F142" s="63"/>
      <c r="G142" s="63"/>
      <c r="H142" s="63"/>
      <c r="I142" s="63"/>
      <c r="J142" s="63"/>
      <c r="K142" s="63"/>
      <c r="L142" s="63"/>
      <c r="M142" s="63"/>
      <c r="N142" s="63"/>
      <c r="O142" s="63"/>
      <c r="P142" s="63"/>
      <c r="Q142" s="63"/>
      <c r="R142" s="63"/>
      <c r="S142" s="63"/>
      <c r="T142" s="63"/>
      <c r="U142" s="63"/>
      <c r="V142" s="63"/>
      <c r="W142" s="63"/>
      <c r="X142" s="63"/>
      <c r="Y142" s="63"/>
      <c r="Z142" s="63"/>
    </row>
    <row r="143" spans="5:26" x14ac:dyDescent="0.4">
      <c r="E143" s="63"/>
      <c r="F143" s="63"/>
      <c r="G143" s="63"/>
      <c r="H143" s="63"/>
      <c r="I143" s="63"/>
      <c r="J143" s="63"/>
      <c r="K143" s="63"/>
      <c r="L143" s="63"/>
      <c r="M143" s="63"/>
      <c r="N143" s="63"/>
      <c r="O143" s="63"/>
      <c r="P143" s="63"/>
      <c r="Q143" s="63"/>
      <c r="R143" s="63"/>
      <c r="S143" s="63"/>
      <c r="T143" s="63"/>
      <c r="U143" s="63"/>
      <c r="V143" s="63"/>
      <c r="W143" s="63"/>
      <c r="X143" s="63"/>
      <c r="Y143" s="63"/>
      <c r="Z143" s="63"/>
    </row>
    <row r="144" spans="5:26" x14ac:dyDescent="0.4">
      <c r="E144" s="63"/>
      <c r="F144" s="63"/>
      <c r="G144" s="63"/>
      <c r="H144" s="63"/>
      <c r="I144" s="63"/>
      <c r="J144" s="63"/>
      <c r="K144" s="63"/>
      <c r="L144" s="63"/>
      <c r="M144" s="63"/>
      <c r="N144" s="63"/>
      <c r="O144" s="63"/>
      <c r="P144" s="63"/>
      <c r="Q144" s="63"/>
      <c r="R144" s="63"/>
      <c r="S144" s="63"/>
      <c r="T144" s="63"/>
      <c r="U144" s="63"/>
      <c r="V144" s="63"/>
      <c r="W144" s="63"/>
      <c r="X144" s="63"/>
      <c r="Y144" s="63"/>
      <c r="Z144" s="63"/>
    </row>
    <row r="145" spans="5:26" x14ac:dyDescent="0.4">
      <c r="E145" s="63"/>
      <c r="F145" s="63"/>
      <c r="G145" s="63"/>
      <c r="H145" s="63"/>
      <c r="I145" s="63"/>
      <c r="J145" s="63"/>
      <c r="K145" s="63"/>
      <c r="L145" s="63"/>
      <c r="M145" s="63"/>
      <c r="N145" s="63"/>
      <c r="O145" s="63"/>
      <c r="P145" s="63"/>
      <c r="Q145" s="63"/>
      <c r="R145" s="63"/>
      <c r="S145" s="63"/>
      <c r="T145" s="63"/>
      <c r="U145" s="63"/>
      <c r="V145" s="63"/>
      <c r="W145" s="63"/>
      <c r="X145" s="63"/>
      <c r="Y145" s="63"/>
      <c r="Z145" s="63"/>
    </row>
    <row r="146" spans="5:26" x14ac:dyDescent="0.4">
      <c r="E146" s="63"/>
      <c r="F146" s="63"/>
      <c r="G146" s="63"/>
      <c r="H146" s="63"/>
      <c r="I146" s="63"/>
      <c r="J146" s="63"/>
      <c r="K146" s="63"/>
      <c r="L146" s="63"/>
      <c r="M146" s="63"/>
      <c r="N146" s="63"/>
      <c r="O146" s="63"/>
      <c r="P146" s="63"/>
      <c r="Q146" s="63"/>
      <c r="R146" s="63"/>
      <c r="S146" s="63"/>
      <c r="T146" s="63"/>
      <c r="U146" s="63"/>
      <c r="V146" s="63"/>
      <c r="W146" s="63"/>
      <c r="X146" s="63"/>
      <c r="Y146" s="63"/>
      <c r="Z146" s="63"/>
    </row>
    <row r="147" spans="5:26" x14ac:dyDescent="0.4">
      <c r="E147" s="63"/>
      <c r="F147" s="63"/>
      <c r="G147" s="63"/>
      <c r="H147" s="63"/>
      <c r="I147" s="63"/>
      <c r="J147" s="63"/>
      <c r="K147" s="63"/>
      <c r="L147" s="63"/>
      <c r="M147" s="63"/>
      <c r="N147" s="63"/>
      <c r="O147" s="63"/>
      <c r="P147" s="63"/>
      <c r="Q147" s="63"/>
      <c r="R147" s="63"/>
      <c r="S147" s="63"/>
      <c r="T147" s="63"/>
      <c r="U147" s="63"/>
      <c r="V147" s="63"/>
      <c r="W147" s="63"/>
      <c r="X147" s="63"/>
      <c r="Y147" s="63"/>
      <c r="Z147" s="63"/>
    </row>
    <row r="148" spans="5:26" x14ac:dyDescent="0.4">
      <c r="E148" s="63"/>
      <c r="F148" s="63"/>
      <c r="G148" s="63"/>
      <c r="H148" s="63"/>
      <c r="I148" s="63"/>
      <c r="J148" s="63"/>
      <c r="K148" s="63"/>
      <c r="L148" s="63"/>
      <c r="M148" s="63"/>
      <c r="N148" s="63"/>
      <c r="O148" s="63"/>
      <c r="P148" s="63"/>
      <c r="Q148" s="63"/>
      <c r="R148" s="63"/>
      <c r="S148" s="63"/>
      <c r="T148" s="63"/>
      <c r="U148" s="63"/>
      <c r="V148" s="63"/>
      <c r="W148" s="63"/>
      <c r="X148" s="63"/>
      <c r="Y148" s="63"/>
      <c r="Z148" s="63"/>
    </row>
    <row r="149" spans="5:26" x14ac:dyDescent="0.4">
      <c r="E149" s="63"/>
      <c r="F149" s="63"/>
      <c r="G149" s="63"/>
      <c r="H149" s="63"/>
      <c r="I149" s="63"/>
      <c r="J149" s="63"/>
      <c r="K149" s="63"/>
      <c r="L149" s="63"/>
      <c r="M149" s="63"/>
      <c r="N149" s="63"/>
      <c r="O149" s="63"/>
      <c r="P149" s="63"/>
      <c r="Q149" s="63"/>
      <c r="R149" s="63"/>
      <c r="S149" s="63"/>
      <c r="T149" s="63"/>
      <c r="U149" s="63"/>
      <c r="V149" s="63"/>
      <c r="W149" s="63"/>
      <c r="X149" s="63"/>
      <c r="Y149" s="63"/>
      <c r="Z149" s="63"/>
    </row>
    <row r="150" spans="5:26" x14ac:dyDescent="0.4">
      <c r="E150" s="63"/>
      <c r="F150" s="63"/>
      <c r="G150" s="63"/>
      <c r="H150" s="63"/>
      <c r="I150" s="63"/>
      <c r="J150" s="63"/>
      <c r="K150" s="63"/>
      <c r="L150" s="63"/>
      <c r="M150" s="63"/>
      <c r="N150" s="63"/>
      <c r="O150" s="63"/>
      <c r="P150" s="63"/>
      <c r="Q150" s="63"/>
      <c r="R150" s="63"/>
      <c r="S150" s="63"/>
      <c r="T150" s="63"/>
      <c r="U150" s="63"/>
      <c r="V150" s="63"/>
      <c r="W150" s="63"/>
      <c r="X150" s="63"/>
      <c r="Y150" s="63"/>
      <c r="Z150" s="63"/>
    </row>
    <row r="151" spans="5:26" x14ac:dyDescent="0.4">
      <c r="E151" s="63"/>
      <c r="F151" s="63"/>
      <c r="G151" s="63"/>
      <c r="H151" s="63"/>
      <c r="I151" s="63"/>
      <c r="J151" s="63"/>
      <c r="K151" s="63"/>
      <c r="L151" s="63"/>
      <c r="M151" s="63"/>
      <c r="N151" s="63"/>
      <c r="O151" s="63"/>
      <c r="P151" s="63"/>
      <c r="Q151" s="63"/>
      <c r="R151" s="63"/>
      <c r="S151" s="63"/>
      <c r="T151" s="63"/>
      <c r="U151" s="63"/>
      <c r="V151" s="63"/>
      <c r="W151" s="63"/>
      <c r="X151" s="63"/>
      <c r="Y151" s="63"/>
      <c r="Z151" s="63"/>
    </row>
    <row r="152" spans="5:26" x14ac:dyDescent="0.4">
      <c r="E152" s="63"/>
      <c r="F152" s="63"/>
      <c r="G152" s="63"/>
      <c r="H152" s="63"/>
      <c r="I152" s="63"/>
      <c r="J152" s="63"/>
      <c r="K152" s="63"/>
      <c r="L152" s="63"/>
      <c r="M152" s="63"/>
      <c r="N152" s="63"/>
      <c r="O152" s="63"/>
      <c r="P152" s="63"/>
      <c r="Q152" s="63"/>
      <c r="R152" s="63"/>
      <c r="S152" s="63"/>
      <c r="T152" s="63"/>
      <c r="U152" s="63"/>
      <c r="V152" s="63"/>
      <c r="W152" s="63"/>
      <c r="X152" s="63"/>
      <c r="Y152" s="63"/>
      <c r="Z152" s="63"/>
    </row>
    <row r="153" spans="5:26" x14ac:dyDescent="0.4">
      <c r="E153" s="63"/>
      <c r="F153" s="63"/>
      <c r="G153" s="63"/>
      <c r="H153" s="63"/>
      <c r="I153" s="63"/>
      <c r="J153" s="63"/>
      <c r="K153" s="63"/>
      <c r="L153" s="63"/>
      <c r="M153" s="63"/>
      <c r="N153" s="63"/>
      <c r="O153" s="63"/>
      <c r="P153" s="63"/>
      <c r="Q153" s="63"/>
      <c r="R153" s="63"/>
      <c r="S153" s="63"/>
      <c r="T153" s="63"/>
      <c r="U153" s="63"/>
      <c r="V153" s="63"/>
      <c r="W153" s="63"/>
      <c r="X153" s="63"/>
      <c r="Y153" s="63"/>
      <c r="Z153" s="63"/>
    </row>
    <row r="154" spans="5:26" x14ac:dyDescent="0.4">
      <c r="E154" s="63"/>
      <c r="F154" s="63"/>
      <c r="G154" s="63"/>
      <c r="H154" s="63"/>
      <c r="I154" s="63"/>
      <c r="J154" s="63"/>
      <c r="K154" s="63"/>
      <c r="L154" s="63"/>
      <c r="M154" s="63"/>
      <c r="N154" s="63"/>
      <c r="O154" s="63"/>
      <c r="P154" s="63"/>
      <c r="Q154" s="63"/>
      <c r="R154" s="63"/>
      <c r="S154" s="63"/>
      <c r="T154" s="63"/>
      <c r="U154" s="63"/>
      <c r="V154" s="63"/>
      <c r="W154" s="63"/>
      <c r="X154" s="63"/>
      <c r="Y154" s="63"/>
      <c r="Z154" s="63"/>
    </row>
    <row r="155" spans="5:26" x14ac:dyDescent="0.4">
      <c r="E155" s="63"/>
      <c r="F155" s="63"/>
      <c r="G155" s="63"/>
      <c r="H155" s="63"/>
      <c r="I155" s="63"/>
      <c r="J155" s="63"/>
      <c r="K155" s="63"/>
      <c r="L155" s="63"/>
      <c r="M155" s="63"/>
      <c r="N155" s="63"/>
      <c r="O155" s="63"/>
      <c r="P155" s="63"/>
      <c r="Q155" s="63"/>
      <c r="R155" s="63"/>
      <c r="S155" s="63"/>
      <c r="T155" s="63"/>
      <c r="U155" s="63"/>
      <c r="V155" s="63"/>
      <c r="W155" s="63"/>
      <c r="X155" s="63"/>
      <c r="Y155" s="63"/>
      <c r="Z155" s="63"/>
    </row>
    <row r="156" spans="5:26" x14ac:dyDescent="0.4">
      <c r="E156" s="63"/>
      <c r="F156" s="63"/>
      <c r="G156" s="63"/>
      <c r="H156" s="63"/>
      <c r="I156" s="63"/>
      <c r="J156" s="63"/>
      <c r="K156" s="63"/>
      <c r="L156" s="63"/>
      <c r="M156" s="63"/>
      <c r="N156" s="63"/>
      <c r="O156" s="63"/>
      <c r="P156" s="63"/>
      <c r="Q156" s="63"/>
      <c r="R156" s="63"/>
      <c r="S156" s="63"/>
      <c r="T156" s="63"/>
      <c r="U156" s="63"/>
      <c r="V156" s="63"/>
      <c r="W156" s="63"/>
      <c r="X156" s="63"/>
      <c r="Y156" s="63"/>
      <c r="Z156" s="63"/>
    </row>
    <row r="157" spans="5:26" x14ac:dyDescent="0.4">
      <c r="E157" s="63"/>
      <c r="F157" s="63"/>
      <c r="G157" s="63"/>
      <c r="H157" s="63"/>
      <c r="I157" s="63"/>
      <c r="J157" s="63"/>
      <c r="K157" s="63"/>
      <c r="L157" s="63"/>
      <c r="M157" s="63"/>
      <c r="N157" s="63"/>
      <c r="O157" s="63"/>
      <c r="P157" s="63"/>
      <c r="Q157" s="63"/>
      <c r="R157" s="63"/>
      <c r="S157" s="63"/>
      <c r="T157" s="63"/>
      <c r="U157" s="63"/>
      <c r="V157" s="63"/>
      <c r="W157" s="63"/>
      <c r="X157" s="63"/>
      <c r="Y157" s="63"/>
      <c r="Z157" s="63"/>
    </row>
    <row r="158" spans="5:26" x14ac:dyDescent="0.4">
      <c r="E158" s="63"/>
      <c r="F158" s="63"/>
      <c r="G158" s="63"/>
      <c r="H158" s="63"/>
      <c r="I158" s="63"/>
      <c r="J158" s="63"/>
      <c r="K158" s="63"/>
      <c r="L158" s="63"/>
      <c r="M158" s="63"/>
      <c r="N158" s="63"/>
      <c r="O158" s="63"/>
      <c r="P158" s="63"/>
      <c r="Q158" s="63"/>
      <c r="R158" s="63"/>
      <c r="S158" s="63"/>
      <c r="T158" s="63"/>
      <c r="U158" s="63"/>
      <c r="V158" s="63"/>
      <c r="W158" s="63"/>
      <c r="X158" s="63"/>
      <c r="Y158" s="63"/>
      <c r="Z158" s="63"/>
    </row>
    <row r="159" spans="5:26" x14ac:dyDescent="0.4">
      <c r="E159" s="63"/>
      <c r="F159" s="63"/>
      <c r="G159" s="63"/>
      <c r="H159" s="63"/>
      <c r="I159" s="63"/>
      <c r="J159" s="63"/>
      <c r="K159" s="63"/>
      <c r="L159" s="63"/>
      <c r="M159" s="63"/>
      <c r="N159" s="63"/>
      <c r="O159" s="63"/>
      <c r="P159" s="63"/>
      <c r="Q159" s="63"/>
      <c r="R159" s="63"/>
      <c r="S159" s="63"/>
      <c r="T159" s="63"/>
      <c r="U159" s="63"/>
      <c r="V159" s="63"/>
      <c r="W159" s="63"/>
      <c r="X159" s="63"/>
      <c r="Y159" s="63"/>
      <c r="Z159" s="63"/>
    </row>
    <row r="160" spans="5:26" x14ac:dyDescent="0.4">
      <c r="E160" s="63"/>
      <c r="F160" s="63"/>
      <c r="G160" s="63"/>
      <c r="H160" s="63"/>
      <c r="I160" s="63"/>
      <c r="J160" s="63"/>
      <c r="K160" s="63"/>
      <c r="L160" s="63"/>
      <c r="M160" s="63"/>
      <c r="N160" s="63"/>
      <c r="O160" s="63"/>
      <c r="P160" s="63"/>
      <c r="Q160" s="63"/>
      <c r="R160" s="63"/>
      <c r="S160" s="63"/>
      <c r="T160" s="63"/>
      <c r="U160" s="63"/>
      <c r="V160" s="63"/>
      <c r="W160" s="63"/>
      <c r="X160" s="63"/>
      <c r="Y160" s="63"/>
      <c r="Z160" s="63"/>
    </row>
    <row r="161" spans="5:26" x14ac:dyDescent="0.4">
      <c r="E161" s="63"/>
      <c r="F161" s="63"/>
      <c r="G161" s="63"/>
      <c r="H161" s="63"/>
      <c r="I161" s="63"/>
      <c r="J161" s="63"/>
      <c r="K161" s="63"/>
      <c r="L161" s="63"/>
      <c r="M161" s="63"/>
      <c r="N161" s="63"/>
      <c r="O161" s="63"/>
      <c r="P161" s="63"/>
      <c r="Q161" s="63"/>
      <c r="R161" s="63"/>
      <c r="S161" s="63"/>
      <c r="T161" s="63"/>
      <c r="U161" s="63"/>
      <c r="V161" s="63"/>
      <c r="W161" s="63"/>
      <c r="X161" s="63"/>
      <c r="Y161" s="63"/>
      <c r="Z161" s="63"/>
    </row>
    <row r="162" spans="5:26" x14ac:dyDescent="0.4">
      <c r="E162" s="63"/>
      <c r="F162" s="63"/>
      <c r="G162" s="63"/>
      <c r="H162" s="63"/>
      <c r="I162" s="63"/>
      <c r="J162" s="63"/>
      <c r="K162" s="63"/>
      <c r="L162" s="63"/>
      <c r="M162" s="63"/>
      <c r="N162" s="63"/>
      <c r="O162" s="63"/>
      <c r="P162" s="63"/>
      <c r="Q162" s="63"/>
      <c r="R162" s="63"/>
      <c r="S162" s="63"/>
      <c r="T162" s="63"/>
      <c r="U162" s="63"/>
      <c r="V162" s="63"/>
      <c r="W162" s="63"/>
      <c r="X162" s="63"/>
      <c r="Y162" s="63"/>
      <c r="Z162" s="63"/>
    </row>
    <row r="163" spans="5:26" x14ac:dyDescent="0.4">
      <c r="E163" s="63"/>
      <c r="F163" s="63"/>
      <c r="G163" s="63"/>
      <c r="H163" s="63"/>
      <c r="I163" s="63"/>
      <c r="J163" s="63"/>
      <c r="K163" s="63"/>
      <c r="L163" s="63"/>
      <c r="M163" s="63"/>
      <c r="N163" s="63"/>
      <c r="O163" s="63"/>
      <c r="P163" s="63"/>
      <c r="Q163" s="63"/>
      <c r="R163" s="63"/>
      <c r="S163" s="63"/>
      <c r="T163" s="63"/>
      <c r="U163" s="63"/>
      <c r="V163" s="63"/>
      <c r="W163" s="63"/>
      <c r="X163" s="63"/>
      <c r="Y163" s="63"/>
      <c r="Z163" s="63"/>
    </row>
    <row r="164" spans="5:26" x14ac:dyDescent="0.4">
      <c r="E164" s="63"/>
      <c r="F164" s="63"/>
      <c r="G164" s="63"/>
      <c r="H164" s="63"/>
      <c r="I164" s="63"/>
      <c r="J164" s="63"/>
      <c r="K164" s="63"/>
      <c r="L164" s="63"/>
      <c r="M164" s="63"/>
      <c r="N164" s="63"/>
      <c r="O164" s="63"/>
      <c r="P164" s="63"/>
      <c r="Q164" s="63"/>
      <c r="R164" s="63"/>
      <c r="S164" s="63"/>
      <c r="T164" s="63"/>
      <c r="U164" s="63"/>
      <c r="V164" s="63"/>
      <c r="W164" s="63"/>
      <c r="X164" s="63"/>
      <c r="Y164" s="63"/>
      <c r="Z164" s="63"/>
    </row>
    <row r="165" spans="5:26" x14ac:dyDescent="0.4">
      <c r="E165" s="63"/>
      <c r="F165" s="63"/>
      <c r="G165" s="63"/>
      <c r="H165" s="63"/>
      <c r="I165" s="63"/>
      <c r="J165" s="63"/>
      <c r="K165" s="63"/>
      <c r="L165" s="63"/>
      <c r="M165" s="63"/>
      <c r="N165" s="63"/>
      <c r="O165" s="63"/>
      <c r="P165" s="63"/>
      <c r="Q165" s="63"/>
      <c r="R165" s="63"/>
      <c r="S165" s="63"/>
      <c r="T165" s="63"/>
      <c r="U165" s="63"/>
      <c r="V165" s="63"/>
      <c r="W165" s="63"/>
      <c r="X165" s="63"/>
      <c r="Y165" s="63"/>
      <c r="Z165" s="63"/>
    </row>
    <row r="166" spans="5:26" x14ac:dyDescent="0.4">
      <c r="E166" s="63"/>
      <c r="F166" s="63"/>
      <c r="G166" s="63"/>
      <c r="H166" s="63"/>
      <c r="I166" s="63"/>
      <c r="J166" s="63"/>
      <c r="K166" s="63"/>
      <c r="L166" s="63"/>
      <c r="M166" s="63"/>
      <c r="N166" s="63"/>
      <c r="O166" s="63"/>
      <c r="P166" s="63"/>
      <c r="Q166" s="63"/>
      <c r="R166" s="63"/>
      <c r="S166" s="63"/>
      <c r="T166" s="63"/>
      <c r="U166" s="63"/>
      <c r="V166" s="63"/>
      <c r="W166" s="63"/>
      <c r="X166" s="63"/>
      <c r="Y166" s="63"/>
      <c r="Z166" s="63"/>
    </row>
    <row r="167" spans="5:26" x14ac:dyDescent="0.4">
      <c r="E167" s="63"/>
      <c r="F167" s="63"/>
      <c r="G167" s="63"/>
      <c r="H167" s="63"/>
      <c r="I167" s="63"/>
      <c r="J167" s="63"/>
      <c r="K167" s="63"/>
      <c r="L167" s="63"/>
      <c r="M167" s="63"/>
      <c r="N167" s="63"/>
      <c r="O167" s="63"/>
      <c r="P167" s="63"/>
      <c r="Q167" s="63"/>
      <c r="R167" s="63"/>
      <c r="S167" s="63"/>
      <c r="T167" s="63"/>
      <c r="U167" s="63"/>
      <c r="V167" s="63"/>
      <c r="W167" s="63"/>
      <c r="X167" s="63"/>
      <c r="Y167" s="63"/>
      <c r="Z167" s="63"/>
    </row>
    <row r="168" spans="5:26" x14ac:dyDescent="0.4">
      <c r="E168" s="63"/>
      <c r="F168" s="63"/>
      <c r="G168" s="63"/>
      <c r="H168" s="63"/>
      <c r="I168" s="63"/>
      <c r="J168" s="63"/>
      <c r="K168" s="63"/>
      <c r="L168" s="63"/>
      <c r="M168" s="63"/>
      <c r="N168" s="63"/>
      <c r="O168" s="63"/>
      <c r="P168" s="63"/>
      <c r="Q168" s="63"/>
      <c r="R168" s="63"/>
      <c r="S168" s="63"/>
      <c r="T168" s="63"/>
      <c r="U168" s="63"/>
      <c r="V168" s="63"/>
      <c r="W168" s="63"/>
      <c r="X168" s="63"/>
      <c r="Y168" s="63"/>
      <c r="Z168" s="63"/>
    </row>
    <row r="169" spans="5:26" x14ac:dyDescent="0.4">
      <c r="E169" s="63"/>
      <c r="F169" s="63"/>
      <c r="G169" s="63"/>
      <c r="H169" s="63"/>
      <c r="I169" s="63"/>
      <c r="J169" s="63"/>
      <c r="K169" s="63"/>
      <c r="L169" s="63"/>
      <c r="M169" s="63"/>
      <c r="N169" s="63"/>
      <c r="O169" s="63"/>
      <c r="P169" s="63"/>
      <c r="Q169" s="63"/>
      <c r="R169" s="63"/>
      <c r="S169" s="63"/>
      <c r="T169" s="63"/>
      <c r="U169" s="63"/>
      <c r="V169" s="63"/>
      <c r="W169" s="63"/>
      <c r="X169" s="63"/>
      <c r="Y169" s="63"/>
      <c r="Z169" s="63"/>
    </row>
    <row r="170" spans="5:26" x14ac:dyDescent="0.4">
      <c r="E170" s="63"/>
      <c r="F170" s="63"/>
      <c r="G170" s="63"/>
      <c r="H170" s="63"/>
      <c r="I170" s="63"/>
      <c r="J170" s="63"/>
      <c r="K170" s="63"/>
      <c r="L170" s="63"/>
      <c r="M170" s="63"/>
      <c r="N170" s="63"/>
      <c r="O170" s="63"/>
      <c r="P170" s="63"/>
      <c r="Q170" s="63"/>
      <c r="R170" s="63"/>
      <c r="S170" s="63"/>
      <c r="T170" s="63"/>
      <c r="U170" s="63"/>
      <c r="V170" s="63"/>
      <c r="W170" s="63"/>
      <c r="X170" s="63"/>
      <c r="Y170" s="63"/>
      <c r="Z170" s="63"/>
    </row>
    <row r="171" spans="5:26" x14ac:dyDescent="0.4">
      <c r="E171" s="63"/>
      <c r="F171" s="63"/>
      <c r="G171" s="63"/>
      <c r="H171" s="63"/>
      <c r="I171" s="63"/>
      <c r="J171" s="63"/>
      <c r="K171" s="63"/>
      <c r="L171" s="63"/>
      <c r="M171" s="63"/>
      <c r="N171" s="63"/>
      <c r="O171" s="63"/>
      <c r="P171" s="63"/>
      <c r="Q171" s="63"/>
      <c r="R171" s="63"/>
      <c r="S171" s="63"/>
      <c r="T171" s="63"/>
      <c r="U171" s="63"/>
      <c r="V171" s="63"/>
      <c r="W171" s="63"/>
      <c r="X171" s="63"/>
      <c r="Y171" s="63"/>
      <c r="Z171" s="63"/>
    </row>
    <row r="172" spans="5:26" x14ac:dyDescent="0.4">
      <c r="E172" s="63"/>
      <c r="F172" s="63"/>
      <c r="G172" s="63"/>
      <c r="H172" s="63"/>
      <c r="I172" s="63"/>
      <c r="J172" s="63"/>
      <c r="K172" s="63"/>
      <c r="L172" s="63"/>
      <c r="M172" s="63"/>
      <c r="N172" s="63"/>
      <c r="O172" s="63"/>
      <c r="P172" s="63"/>
      <c r="Q172" s="63"/>
      <c r="R172" s="63"/>
      <c r="S172" s="63"/>
      <c r="T172" s="63"/>
      <c r="U172" s="63"/>
      <c r="V172" s="63"/>
      <c r="W172" s="63"/>
      <c r="X172" s="63"/>
      <c r="Y172" s="63"/>
      <c r="Z172" s="63"/>
    </row>
    <row r="173" spans="5:26" x14ac:dyDescent="0.4">
      <c r="E173" s="63"/>
      <c r="F173" s="63"/>
      <c r="G173" s="63"/>
      <c r="H173" s="63"/>
      <c r="I173" s="63"/>
      <c r="J173" s="63"/>
      <c r="K173" s="63"/>
      <c r="L173" s="63"/>
      <c r="M173" s="63"/>
      <c r="N173" s="63"/>
      <c r="O173" s="63"/>
      <c r="P173" s="63"/>
      <c r="Q173" s="63"/>
      <c r="R173" s="63"/>
      <c r="S173" s="63"/>
      <c r="T173" s="63"/>
      <c r="U173" s="63"/>
      <c r="V173" s="63"/>
      <c r="W173" s="63"/>
      <c r="X173" s="63"/>
      <c r="Y173" s="63"/>
      <c r="Z173" s="63"/>
    </row>
    <row r="174" spans="5:26" x14ac:dyDescent="0.4">
      <c r="E174" s="63"/>
      <c r="F174" s="63"/>
      <c r="G174" s="63"/>
      <c r="H174" s="63"/>
      <c r="I174" s="63"/>
      <c r="J174" s="63"/>
      <c r="K174" s="63"/>
      <c r="L174" s="63"/>
      <c r="M174" s="63"/>
      <c r="N174" s="63"/>
      <c r="O174" s="63"/>
      <c r="P174" s="63"/>
      <c r="Q174" s="63"/>
      <c r="R174" s="63"/>
      <c r="S174" s="63"/>
      <c r="T174" s="63"/>
      <c r="U174" s="63"/>
      <c r="V174" s="63"/>
      <c r="W174" s="63"/>
      <c r="X174" s="63"/>
      <c r="Y174" s="63"/>
      <c r="Z174" s="63"/>
    </row>
    <row r="175" spans="5:26" x14ac:dyDescent="0.4">
      <c r="E175" s="63"/>
      <c r="F175" s="63"/>
      <c r="G175" s="63"/>
      <c r="H175" s="63"/>
      <c r="I175" s="63"/>
      <c r="J175" s="63"/>
      <c r="K175" s="63"/>
      <c r="L175" s="63"/>
      <c r="M175" s="63"/>
      <c r="N175" s="63"/>
      <c r="O175" s="63"/>
      <c r="P175" s="63"/>
      <c r="Q175" s="63"/>
      <c r="R175" s="63"/>
      <c r="S175" s="63"/>
      <c r="T175" s="63"/>
      <c r="U175" s="63"/>
      <c r="V175" s="63"/>
      <c r="W175" s="63"/>
      <c r="X175" s="63"/>
      <c r="Y175" s="63"/>
      <c r="Z175" s="63"/>
    </row>
    <row r="176" spans="5:26" x14ac:dyDescent="0.4">
      <c r="E176" s="63"/>
      <c r="F176" s="63"/>
      <c r="G176" s="63"/>
      <c r="H176" s="63"/>
      <c r="I176" s="63"/>
      <c r="J176" s="63"/>
      <c r="K176" s="63"/>
      <c r="L176" s="63"/>
      <c r="M176" s="63"/>
      <c r="N176" s="63"/>
      <c r="O176" s="63"/>
      <c r="P176" s="63"/>
      <c r="Q176" s="63"/>
      <c r="R176" s="63"/>
      <c r="S176" s="63"/>
      <c r="T176" s="63"/>
      <c r="U176" s="63"/>
      <c r="V176" s="63"/>
      <c r="W176" s="63"/>
      <c r="X176" s="63"/>
      <c r="Y176" s="63"/>
      <c r="Z176" s="63"/>
    </row>
    <row r="177" spans="5:26" x14ac:dyDescent="0.4">
      <c r="E177" s="63"/>
      <c r="F177" s="63"/>
      <c r="G177" s="63"/>
      <c r="H177" s="63"/>
      <c r="I177" s="63"/>
      <c r="J177" s="63"/>
      <c r="K177" s="63"/>
      <c r="L177" s="63"/>
      <c r="M177" s="63"/>
      <c r="N177" s="63"/>
      <c r="O177" s="63"/>
      <c r="P177" s="63"/>
      <c r="Q177" s="63"/>
      <c r="R177" s="63"/>
      <c r="S177" s="63"/>
      <c r="T177" s="63"/>
      <c r="U177" s="63"/>
      <c r="V177" s="63"/>
      <c r="W177" s="63"/>
      <c r="X177" s="63"/>
      <c r="Y177" s="63"/>
      <c r="Z177" s="63"/>
    </row>
    <row r="178" spans="5:26" x14ac:dyDescent="0.4">
      <c r="E178" s="63"/>
      <c r="F178" s="63"/>
      <c r="G178" s="63"/>
      <c r="H178" s="63"/>
      <c r="I178" s="63"/>
      <c r="J178" s="63"/>
      <c r="K178" s="63"/>
      <c r="L178" s="63"/>
      <c r="M178" s="63"/>
      <c r="N178" s="63"/>
      <c r="O178" s="63"/>
      <c r="P178" s="63"/>
      <c r="Q178" s="63"/>
      <c r="R178" s="63"/>
      <c r="S178" s="63"/>
      <c r="T178" s="63"/>
      <c r="U178" s="63"/>
      <c r="V178" s="63"/>
      <c r="W178" s="63"/>
      <c r="X178" s="63"/>
      <c r="Y178" s="63"/>
      <c r="Z178" s="63"/>
    </row>
    <row r="179" spans="5:26" x14ac:dyDescent="0.4">
      <c r="E179" s="63"/>
      <c r="F179" s="63"/>
      <c r="G179" s="63"/>
      <c r="H179" s="63"/>
      <c r="I179" s="63"/>
      <c r="J179" s="63"/>
      <c r="K179" s="63"/>
      <c r="L179" s="63"/>
      <c r="M179" s="63"/>
      <c r="N179" s="63"/>
      <c r="O179" s="63"/>
      <c r="P179" s="63"/>
      <c r="Q179" s="63"/>
      <c r="R179" s="63"/>
      <c r="S179" s="63"/>
      <c r="T179" s="63"/>
      <c r="U179" s="63"/>
      <c r="V179" s="63"/>
      <c r="W179" s="63"/>
      <c r="X179" s="63"/>
      <c r="Y179" s="63"/>
      <c r="Z179" s="63"/>
    </row>
    <row r="180" spans="5:26" x14ac:dyDescent="0.4">
      <c r="E180" s="63"/>
      <c r="F180" s="63"/>
      <c r="G180" s="63"/>
      <c r="H180" s="63"/>
      <c r="I180" s="63"/>
      <c r="J180" s="63"/>
      <c r="K180" s="63"/>
      <c r="L180" s="63"/>
      <c r="M180" s="63"/>
      <c r="N180" s="63"/>
      <c r="O180" s="63"/>
      <c r="P180" s="63"/>
      <c r="Q180" s="63"/>
      <c r="R180" s="63"/>
      <c r="S180" s="63"/>
      <c r="T180" s="63"/>
      <c r="U180" s="63"/>
      <c r="V180" s="63"/>
      <c r="W180" s="63"/>
      <c r="X180" s="63"/>
      <c r="Y180" s="63"/>
      <c r="Z180" s="63"/>
    </row>
    <row r="181" spans="5:26" x14ac:dyDescent="0.4">
      <c r="E181" s="63"/>
      <c r="F181" s="63"/>
      <c r="G181" s="63"/>
      <c r="H181" s="63"/>
      <c r="I181" s="63"/>
      <c r="J181" s="63"/>
      <c r="K181" s="63"/>
      <c r="L181" s="63"/>
      <c r="M181" s="63"/>
      <c r="N181" s="63"/>
      <c r="O181" s="63"/>
      <c r="P181" s="63"/>
      <c r="Q181" s="63"/>
      <c r="R181" s="63"/>
      <c r="S181" s="63"/>
      <c r="T181" s="63"/>
      <c r="U181" s="63"/>
      <c r="V181" s="63"/>
      <c r="W181" s="63"/>
      <c r="X181" s="63"/>
      <c r="Y181" s="63"/>
      <c r="Z181" s="63"/>
    </row>
    <row r="182" spans="5:26" x14ac:dyDescent="0.4">
      <c r="E182" s="63"/>
      <c r="F182" s="63"/>
      <c r="G182" s="63"/>
      <c r="H182" s="63"/>
      <c r="I182" s="63"/>
      <c r="J182" s="63"/>
      <c r="K182" s="63"/>
      <c r="L182" s="63"/>
      <c r="M182" s="63"/>
      <c r="N182" s="63"/>
      <c r="O182" s="63"/>
      <c r="P182" s="63"/>
      <c r="Q182" s="63"/>
      <c r="R182" s="63"/>
      <c r="S182" s="63"/>
      <c r="T182" s="63"/>
      <c r="U182" s="63"/>
      <c r="V182" s="63"/>
      <c r="W182" s="63"/>
      <c r="X182" s="63"/>
      <c r="Y182" s="63"/>
      <c r="Z182" s="63"/>
    </row>
    <row r="183" spans="5:26" x14ac:dyDescent="0.4">
      <c r="E183" s="63"/>
      <c r="F183" s="63"/>
      <c r="G183" s="63"/>
      <c r="H183" s="63"/>
      <c r="I183" s="63"/>
      <c r="J183" s="63"/>
      <c r="K183" s="63"/>
      <c r="L183" s="63"/>
      <c r="M183" s="63"/>
      <c r="N183" s="63"/>
      <c r="O183" s="63"/>
      <c r="P183" s="63"/>
      <c r="Q183" s="63"/>
      <c r="R183" s="63"/>
      <c r="S183" s="63"/>
      <c r="T183" s="63"/>
      <c r="U183" s="63"/>
      <c r="V183" s="63"/>
      <c r="W183" s="63"/>
      <c r="X183" s="63"/>
      <c r="Y183" s="63"/>
      <c r="Z183" s="63"/>
    </row>
    <row r="184" spans="5:26" x14ac:dyDescent="0.4">
      <c r="E184" s="63"/>
      <c r="F184" s="63"/>
      <c r="G184" s="63"/>
      <c r="H184" s="63"/>
      <c r="I184" s="63"/>
      <c r="J184" s="63"/>
      <c r="K184" s="63"/>
      <c r="L184" s="63"/>
      <c r="M184" s="63"/>
      <c r="N184" s="63"/>
      <c r="O184" s="63"/>
      <c r="P184" s="63"/>
      <c r="Q184" s="63"/>
      <c r="R184" s="63"/>
      <c r="S184" s="63"/>
      <c r="T184" s="63"/>
      <c r="U184" s="63"/>
      <c r="V184" s="63"/>
      <c r="W184" s="63"/>
      <c r="X184" s="63"/>
      <c r="Y184" s="63"/>
      <c r="Z184" s="63"/>
    </row>
    <row r="185" spans="5:26" x14ac:dyDescent="0.4">
      <c r="E185" s="63"/>
      <c r="F185" s="63"/>
      <c r="G185" s="63"/>
      <c r="H185" s="63"/>
      <c r="I185" s="63"/>
      <c r="J185" s="63"/>
      <c r="K185" s="63"/>
      <c r="L185" s="63"/>
      <c r="M185" s="63"/>
      <c r="N185" s="63"/>
      <c r="O185" s="63"/>
      <c r="P185" s="63"/>
      <c r="Q185" s="63"/>
      <c r="R185" s="63"/>
      <c r="S185" s="63"/>
      <c r="T185" s="63"/>
      <c r="U185" s="63"/>
      <c r="V185" s="63"/>
      <c r="W185" s="63"/>
      <c r="X185" s="63"/>
      <c r="Y185" s="63"/>
      <c r="Z185" s="63"/>
    </row>
    <row r="186" spans="5:26" x14ac:dyDescent="0.4">
      <c r="E186" s="63"/>
      <c r="F186" s="63"/>
      <c r="G186" s="63"/>
      <c r="H186" s="63"/>
      <c r="I186" s="63"/>
      <c r="J186" s="63"/>
      <c r="K186" s="63"/>
      <c r="L186" s="63"/>
      <c r="M186" s="63"/>
      <c r="N186" s="63"/>
      <c r="O186" s="63"/>
      <c r="P186" s="63"/>
      <c r="Q186" s="63"/>
      <c r="R186" s="63"/>
      <c r="S186" s="63"/>
      <c r="T186" s="63"/>
      <c r="U186" s="63"/>
      <c r="V186" s="63"/>
      <c r="W186" s="63"/>
      <c r="X186" s="63"/>
      <c r="Y186" s="63"/>
      <c r="Z186" s="63"/>
    </row>
    <row r="187" spans="5:26" x14ac:dyDescent="0.4">
      <c r="E187" s="63"/>
      <c r="F187" s="63"/>
      <c r="G187" s="63"/>
      <c r="H187" s="63"/>
      <c r="I187" s="63"/>
      <c r="J187" s="63"/>
      <c r="K187" s="63"/>
      <c r="L187" s="63"/>
      <c r="M187" s="63"/>
      <c r="N187" s="63"/>
      <c r="O187" s="63"/>
      <c r="P187" s="63"/>
      <c r="Q187" s="63"/>
      <c r="R187" s="63"/>
      <c r="S187" s="63"/>
      <c r="T187" s="63"/>
      <c r="U187" s="63"/>
      <c r="V187" s="63"/>
      <c r="W187" s="63"/>
      <c r="X187" s="63"/>
      <c r="Y187" s="63"/>
      <c r="Z187" s="63"/>
    </row>
    <row r="188" spans="5:26" x14ac:dyDescent="0.4">
      <c r="E188" s="63"/>
      <c r="F188" s="63"/>
      <c r="G188" s="63"/>
      <c r="H188" s="63"/>
      <c r="I188" s="63"/>
      <c r="J188" s="63"/>
      <c r="K188" s="63"/>
      <c r="L188" s="63"/>
      <c r="M188" s="63"/>
      <c r="N188" s="63"/>
      <c r="O188" s="63"/>
      <c r="P188" s="63"/>
      <c r="Q188" s="63"/>
      <c r="R188" s="63"/>
      <c r="S188" s="63"/>
      <c r="T188" s="63"/>
      <c r="U188" s="63"/>
      <c r="V188" s="63"/>
      <c r="W188" s="63"/>
      <c r="X188" s="63"/>
      <c r="Y188" s="63"/>
      <c r="Z188" s="63"/>
    </row>
    <row r="189" spans="5:26" x14ac:dyDescent="0.4">
      <c r="E189" s="63"/>
      <c r="F189" s="63"/>
      <c r="G189" s="63"/>
      <c r="H189" s="63"/>
      <c r="I189" s="63"/>
      <c r="J189" s="63"/>
      <c r="K189" s="63"/>
      <c r="L189" s="63"/>
      <c r="M189" s="63"/>
      <c r="N189" s="63"/>
      <c r="O189" s="63"/>
      <c r="P189" s="63"/>
      <c r="Q189" s="63"/>
      <c r="R189" s="63"/>
      <c r="S189" s="63"/>
      <c r="T189" s="63"/>
      <c r="U189" s="63"/>
      <c r="V189" s="63"/>
      <c r="W189" s="63"/>
      <c r="X189" s="63"/>
      <c r="Y189" s="63"/>
      <c r="Z189" s="63"/>
    </row>
    <row r="190" spans="5:26" x14ac:dyDescent="0.4">
      <c r="E190" s="63"/>
      <c r="F190" s="63"/>
      <c r="G190" s="63"/>
      <c r="H190" s="63"/>
      <c r="I190" s="63"/>
      <c r="J190" s="63"/>
      <c r="K190" s="63"/>
      <c r="L190" s="63"/>
      <c r="M190" s="63"/>
      <c r="N190" s="63"/>
      <c r="O190" s="63"/>
      <c r="P190" s="63"/>
      <c r="Q190" s="63"/>
      <c r="R190" s="63"/>
      <c r="S190" s="63"/>
      <c r="T190" s="63"/>
      <c r="U190" s="63"/>
      <c r="V190" s="63"/>
      <c r="W190" s="63"/>
      <c r="X190" s="63"/>
      <c r="Y190" s="63"/>
      <c r="Z190" s="63"/>
    </row>
    <row r="191" spans="5:26" x14ac:dyDescent="0.4">
      <c r="E191" s="63"/>
      <c r="F191" s="63"/>
      <c r="G191" s="63"/>
      <c r="H191" s="63"/>
      <c r="I191" s="63"/>
      <c r="J191" s="63"/>
      <c r="K191" s="63"/>
      <c r="L191" s="63"/>
      <c r="M191" s="63"/>
      <c r="N191" s="63"/>
      <c r="O191" s="63"/>
      <c r="P191" s="63"/>
      <c r="Q191" s="63"/>
      <c r="R191" s="63"/>
      <c r="S191" s="63"/>
      <c r="T191" s="63"/>
      <c r="U191" s="63"/>
      <c r="V191" s="63"/>
      <c r="W191" s="63"/>
      <c r="X191" s="63"/>
      <c r="Y191" s="63"/>
      <c r="Z191" s="63"/>
    </row>
    <row r="192" spans="5:26" x14ac:dyDescent="0.4">
      <c r="E192" s="63"/>
      <c r="F192" s="63"/>
      <c r="G192" s="63"/>
      <c r="H192" s="63"/>
      <c r="I192" s="63"/>
      <c r="J192" s="63"/>
      <c r="K192" s="63"/>
      <c r="L192" s="63"/>
      <c r="M192" s="63"/>
      <c r="N192" s="63"/>
      <c r="O192" s="63"/>
      <c r="P192" s="63"/>
      <c r="Q192" s="63"/>
      <c r="R192" s="63"/>
      <c r="S192" s="63"/>
      <c r="T192" s="63"/>
      <c r="U192" s="63"/>
      <c r="V192" s="63"/>
      <c r="W192" s="63"/>
      <c r="X192" s="63"/>
      <c r="Y192" s="63"/>
      <c r="Z192" s="63"/>
    </row>
    <row r="193" spans="5:26" x14ac:dyDescent="0.4">
      <c r="E193" s="63"/>
      <c r="F193" s="63"/>
      <c r="G193" s="63"/>
      <c r="H193" s="63"/>
      <c r="I193" s="63"/>
      <c r="J193" s="63"/>
      <c r="K193" s="63"/>
      <c r="L193" s="63"/>
      <c r="M193" s="63"/>
      <c r="N193" s="63"/>
      <c r="O193" s="63"/>
      <c r="P193" s="63"/>
      <c r="Q193" s="63"/>
      <c r="R193" s="63"/>
      <c r="S193" s="63"/>
      <c r="T193" s="63"/>
      <c r="U193" s="63"/>
      <c r="V193" s="63"/>
      <c r="W193" s="63"/>
      <c r="X193" s="63"/>
      <c r="Y193" s="63"/>
      <c r="Z193" s="63"/>
    </row>
    <row r="194" spans="5:26" x14ac:dyDescent="0.4">
      <c r="E194" s="63"/>
      <c r="F194" s="63"/>
      <c r="G194" s="63"/>
      <c r="H194" s="63"/>
      <c r="I194" s="63"/>
      <c r="J194" s="63"/>
      <c r="K194" s="63"/>
      <c r="L194" s="63"/>
      <c r="M194" s="63"/>
      <c r="N194" s="63"/>
      <c r="O194" s="63"/>
      <c r="P194" s="63"/>
      <c r="Q194" s="63"/>
      <c r="R194" s="63"/>
      <c r="S194" s="63"/>
      <c r="T194" s="63"/>
      <c r="U194" s="63"/>
      <c r="V194" s="63"/>
      <c r="W194" s="63"/>
      <c r="X194" s="63"/>
      <c r="Y194" s="63"/>
      <c r="Z194" s="63"/>
    </row>
    <row r="195" spans="5:26" x14ac:dyDescent="0.4">
      <c r="E195" s="63"/>
      <c r="F195" s="63"/>
      <c r="G195" s="63"/>
      <c r="H195" s="63"/>
      <c r="I195" s="63"/>
      <c r="J195" s="63"/>
      <c r="K195" s="63"/>
      <c r="L195" s="63"/>
      <c r="M195" s="63"/>
      <c r="N195" s="63"/>
      <c r="O195" s="63"/>
      <c r="P195" s="63"/>
      <c r="Q195" s="63"/>
      <c r="R195" s="63"/>
      <c r="S195" s="63"/>
      <c r="T195" s="63"/>
      <c r="U195" s="63"/>
      <c r="V195" s="63"/>
      <c r="W195" s="63"/>
      <c r="X195" s="63"/>
      <c r="Y195" s="63"/>
      <c r="Z195" s="63"/>
    </row>
    <row r="196" spans="5:26" x14ac:dyDescent="0.4">
      <c r="E196" s="63"/>
      <c r="F196" s="63"/>
      <c r="G196" s="63"/>
      <c r="H196" s="63"/>
      <c r="I196" s="63"/>
      <c r="J196" s="63"/>
      <c r="K196" s="63"/>
      <c r="L196" s="63"/>
      <c r="M196" s="63"/>
      <c r="N196" s="63"/>
      <c r="O196" s="63"/>
      <c r="P196" s="63"/>
      <c r="Q196" s="63"/>
      <c r="R196" s="63"/>
      <c r="S196" s="63"/>
      <c r="T196" s="63"/>
      <c r="U196" s="63"/>
      <c r="V196" s="63"/>
      <c r="W196" s="63"/>
      <c r="X196" s="63"/>
      <c r="Y196" s="63"/>
      <c r="Z196" s="63"/>
    </row>
    <row r="197" spans="5:26" x14ac:dyDescent="0.4">
      <c r="E197" s="63"/>
      <c r="F197" s="63"/>
      <c r="G197" s="63"/>
      <c r="H197" s="63"/>
      <c r="I197" s="63"/>
      <c r="J197" s="63"/>
      <c r="K197" s="63"/>
      <c r="L197" s="63"/>
      <c r="M197" s="63"/>
      <c r="N197" s="63"/>
      <c r="O197" s="63"/>
      <c r="P197" s="63"/>
      <c r="Q197" s="63"/>
      <c r="R197" s="63"/>
      <c r="S197" s="63"/>
      <c r="T197" s="63"/>
      <c r="U197" s="63"/>
      <c r="V197" s="63"/>
      <c r="W197" s="63"/>
      <c r="X197" s="63"/>
      <c r="Y197" s="63"/>
      <c r="Z197" s="63"/>
    </row>
    <row r="198" spans="5:26" x14ac:dyDescent="0.4">
      <c r="E198" s="63"/>
      <c r="F198" s="63"/>
      <c r="G198" s="63"/>
      <c r="H198" s="63"/>
      <c r="I198" s="63"/>
      <c r="J198" s="63"/>
      <c r="K198" s="63"/>
      <c r="L198" s="63"/>
      <c r="M198" s="63"/>
      <c r="N198" s="63"/>
      <c r="O198" s="63"/>
      <c r="P198" s="63"/>
      <c r="Q198" s="63"/>
      <c r="R198" s="63"/>
      <c r="S198" s="63"/>
      <c r="T198" s="63"/>
      <c r="U198" s="63"/>
      <c r="V198" s="63"/>
      <c r="W198" s="63"/>
      <c r="X198" s="63"/>
      <c r="Y198" s="63"/>
      <c r="Z198" s="63"/>
    </row>
    <row r="199" spans="5:26" x14ac:dyDescent="0.4">
      <c r="E199" s="63"/>
      <c r="F199" s="63"/>
      <c r="G199" s="63"/>
      <c r="H199" s="63"/>
      <c r="I199" s="63"/>
      <c r="J199" s="63"/>
      <c r="K199" s="63"/>
      <c r="L199" s="63"/>
      <c r="M199" s="63"/>
      <c r="N199" s="63"/>
      <c r="O199" s="63"/>
      <c r="P199" s="63"/>
      <c r="Q199" s="63"/>
      <c r="R199" s="63"/>
      <c r="S199" s="63"/>
      <c r="T199" s="63"/>
      <c r="U199" s="63"/>
      <c r="V199" s="63"/>
      <c r="W199" s="63"/>
      <c r="X199" s="63"/>
      <c r="Y199" s="63"/>
      <c r="Z199" s="63"/>
    </row>
    <row r="200" spans="5:26" x14ac:dyDescent="0.4">
      <c r="E200" s="63"/>
      <c r="F200" s="63"/>
      <c r="G200" s="63"/>
      <c r="H200" s="63"/>
      <c r="I200" s="63"/>
      <c r="J200" s="63"/>
      <c r="K200" s="63"/>
      <c r="L200" s="63"/>
      <c r="M200" s="63"/>
      <c r="N200" s="63"/>
      <c r="O200" s="63"/>
      <c r="P200" s="63"/>
      <c r="Q200" s="63"/>
      <c r="R200" s="63"/>
      <c r="S200" s="63"/>
      <c r="T200" s="63"/>
      <c r="U200" s="63"/>
      <c r="V200" s="63"/>
      <c r="W200" s="63"/>
      <c r="X200" s="63"/>
      <c r="Y200" s="63"/>
      <c r="Z200" s="63"/>
    </row>
    <row r="201" spans="5:26" x14ac:dyDescent="0.4">
      <c r="E201" s="63"/>
      <c r="F201" s="63"/>
      <c r="G201" s="63"/>
      <c r="H201" s="63"/>
      <c r="I201" s="63"/>
      <c r="J201" s="63"/>
      <c r="K201" s="63"/>
      <c r="L201" s="63"/>
      <c r="M201" s="63"/>
      <c r="N201" s="63"/>
      <c r="O201" s="63"/>
      <c r="P201" s="63"/>
      <c r="Q201" s="63"/>
      <c r="R201" s="63"/>
      <c r="S201" s="63"/>
      <c r="T201" s="63"/>
      <c r="U201" s="63"/>
      <c r="V201" s="63"/>
      <c r="W201" s="63"/>
      <c r="X201" s="63"/>
      <c r="Y201" s="63"/>
      <c r="Z201" s="63"/>
    </row>
    <row r="202" spans="5:26" x14ac:dyDescent="0.4">
      <c r="E202" s="63"/>
      <c r="F202" s="63"/>
      <c r="G202" s="63"/>
      <c r="H202" s="63"/>
      <c r="I202" s="63"/>
      <c r="J202" s="63"/>
      <c r="K202" s="63"/>
      <c r="L202" s="63"/>
      <c r="M202" s="63"/>
      <c r="N202" s="63"/>
      <c r="O202" s="63"/>
      <c r="P202" s="63"/>
      <c r="Q202" s="63"/>
      <c r="R202" s="63"/>
      <c r="S202" s="63"/>
      <c r="T202" s="63"/>
      <c r="U202" s="63"/>
      <c r="V202" s="63"/>
      <c r="W202" s="63"/>
      <c r="X202" s="63"/>
      <c r="Y202" s="63"/>
      <c r="Z202" s="63"/>
    </row>
    <row r="203" spans="5:26" x14ac:dyDescent="0.4">
      <c r="E203" s="63"/>
      <c r="F203" s="63"/>
      <c r="G203" s="63"/>
      <c r="H203" s="63"/>
      <c r="I203" s="63"/>
      <c r="J203" s="63"/>
      <c r="K203" s="63"/>
      <c r="L203" s="63"/>
      <c r="M203" s="63"/>
      <c r="N203" s="63"/>
      <c r="O203" s="63"/>
      <c r="P203" s="63"/>
      <c r="Q203" s="63"/>
      <c r="R203" s="63"/>
      <c r="S203" s="63"/>
      <c r="T203" s="63"/>
      <c r="U203" s="63"/>
      <c r="V203" s="63"/>
      <c r="W203" s="63"/>
      <c r="X203" s="63"/>
      <c r="Y203" s="63"/>
      <c r="Z203" s="63"/>
    </row>
    <row r="204" spans="5:26" x14ac:dyDescent="0.4">
      <c r="E204" s="63"/>
      <c r="F204" s="63"/>
      <c r="G204" s="63"/>
      <c r="H204" s="63"/>
      <c r="I204" s="63"/>
      <c r="J204" s="63"/>
      <c r="K204" s="63"/>
      <c r="L204" s="63"/>
      <c r="M204" s="63"/>
      <c r="N204" s="63"/>
      <c r="O204" s="63"/>
      <c r="P204" s="63"/>
      <c r="Q204" s="63"/>
      <c r="R204" s="63"/>
      <c r="S204" s="63"/>
      <c r="T204" s="63"/>
      <c r="U204" s="63"/>
      <c r="V204" s="63"/>
      <c r="W204" s="63"/>
      <c r="X204" s="63"/>
      <c r="Y204" s="63"/>
      <c r="Z204" s="63"/>
    </row>
    <row r="205" spans="5:26" x14ac:dyDescent="0.4">
      <c r="E205" s="63"/>
      <c r="F205" s="63"/>
      <c r="G205" s="63"/>
      <c r="H205" s="63"/>
      <c r="I205" s="63"/>
      <c r="J205" s="63"/>
      <c r="K205" s="63"/>
      <c r="L205" s="63"/>
      <c r="M205" s="63"/>
      <c r="N205" s="63"/>
      <c r="O205" s="63"/>
      <c r="P205" s="63"/>
      <c r="Q205" s="63"/>
      <c r="R205" s="63"/>
      <c r="S205" s="63"/>
      <c r="T205" s="63"/>
      <c r="U205" s="63"/>
      <c r="V205" s="63"/>
      <c r="W205" s="63"/>
      <c r="X205" s="63"/>
      <c r="Y205" s="63"/>
      <c r="Z205" s="63"/>
    </row>
    <row r="206" spans="5:26" x14ac:dyDescent="0.4">
      <c r="E206" s="63"/>
      <c r="F206" s="63"/>
      <c r="G206" s="63"/>
      <c r="H206" s="63"/>
      <c r="I206" s="63"/>
      <c r="J206" s="63"/>
      <c r="K206" s="63"/>
      <c r="L206" s="63"/>
      <c r="M206" s="63"/>
      <c r="N206" s="63"/>
      <c r="O206" s="63"/>
      <c r="P206" s="63"/>
      <c r="Q206" s="63"/>
      <c r="R206" s="63"/>
      <c r="S206" s="63"/>
      <c r="T206" s="63"/>
      <c r="U206" s="63"/>
      <c r="V206" s="63"/>
      <c r="W206" s="63"/>
      <c r="X206" s="63"/>
      <c r="Y206" s="63"/>
      <c r="Z206" s="63"/>
    </row>
    <row r="207" spans="5:26" x14ac:dyDescent="0.4">
      <c r="E207" s="63"/>
      <c r="F207" s="63"/>
      <c r="G207" s="63"/>
      <c r="H207" s="63"/>
      <c r="I207" s="63"/>
      <c r="J207" s="63"/>
      <c r="K207" s="63"/>
      <c r="L207" s="63"/>
      <c r="M207" s="63"/>
      <c r="N207" s="63"/>
      <c r="O207" s="63"/>
      <c r="P207" s="63"/>
      <c r="Q207" s="63"/>
      <c r="R207" s="63"/>
      <c r="S207" s="63"/>
      <c r="T207" s="63"/>
      <c r="U207" s="63"/>
      <c r="V207" s="63"/>
      <c r="W207" s="63"/>
      <c r="X207" s="63"/>
      <c r="Y207" s="63"/>
      <c r="Z207" s="63"/>
    </row>
    <row r="208" spans="5:26" x14ac:dyDescent="0.4">
      <c r="E208" s="63"/>
      <c r="F208" s="63"/>
      <c r="G208" s="63"/>
      <c r="H208" s="63"/>
      <c r="I208" s="63"/>
      <c r="J208" s="63"/>
      <c r="K208" s="63"/>
      <c r="L208" s="63"/>
      <c r="M208" s="63"/>
      <c r="N208" s="63"/>
      <c r="O208" s="63"/>
      <c r="P208" s="63"/>
      <c r="Q208" s="63"/>
      <c r="R208" s="63"/>
      <c r="S208" s="63"/>
      <c r="T208" s="63"/>
      <c r="U208" s="63"/>
      <c r="V208" s="63"/>
      <c r="W208" s="63"/>
      <c r="X208" s="63"/>
      <c r="Y208" s="63"/>
      <c r="Z208" s="63"/>
    </row>
    <row r="209" spans="5:26" x14ac:dyDescent="0.4">
      <c r="E209" s="63"/>
      <c r="F209" s="63"/>
      <c r="G209" s="63"/>
      <c r="H209" s="63"/>
      <c r="I209" s="63"/>
      <c r="J209" s="63"/>
      <c r="K209" s="63"/>
      <c r="L209" s="63"/>
      <c r="M209" s="63"/>
      <c r="N209" s="63"/>
      <c r="O209" s="63"/>
      <c r="P209" s="63"/>
      <c r="Q209" s="63"/>
      <c r="R209" s="63"/>
      <c r="S209" s="63"/>
      <c r="T209" s="63"/>
      <c r="U209" s="63"/>
      <c r="V209" s="63"/>
      <c r="W209" s="63"/>
      <c r="X209" s="63"/>
      <c r="Y209" s="63"/>
      <c r="Z209" s="63"/>
    </row>
    <row r="210" spans="5:26" x14ac:dyDescent="0.4">
      <c r="E210" s="63"/>
      <c r="F210" s="63"/>
      <c r="G210" s="63"/>
      <c r="H210" s="63"/>
      <c r="I210" s="63"/>
      <c r="J210" s="63"/>
      <c r="K210" s="63"/>
      <c r="L210" s="63"/>
      <c r="M210" s="63"/>
      <c r="N210" s="63"/>
      <c r="O210" s="63"/>
      <c r="P210" s="63"/>
      <c r="Q210" s="63"/>
      <c r="R210" s="63"/>
      <c r="S210" s="63"/>
      <c r="T210" s="63"/>
      <c r="U210" s="63"/>
      <c r="V210" s="63"/>
      <c r="W210" s="63"/>
      <c r="X210" s="63"/>
      <c r="Y210" s="63"/>
      <c r="Z210" s="63"/>
    </row>
    <row r="211" spans="5:26" x14ac:dyDescent="0.4">
      <c r="E211" s="63"/>
      <c r="F211" s="63"/>
      <c r="G211" s="63"/>
      <c r="H211" s="63"/>
      <c r="I211" s="63"/>
      <c r="J211" s="63"/>
      <c r="K211" s="63"/>
      <c r="L211" s="63"/>
      <c r="M211" s="63"/>
      <c r="N211" s="63"/>
      <c r="O211" s="63"/>
      <c r="P211" s="63"/>
      <c r="Q211" s="63"/>
      <c r="R211" s="63"/>
      <c r="S211" s="63"/>
      <c r="T211" s="63"/>
      <c r="U211" s="63"/>
      <c r="V211" s="63"/>
      <c r="W211" s="63"/>
      <c r="X211" s="63"/>
      <c r="Y211" s="63"/>
      <c r="Z211" s="63"/>
    </row>
    <row r="212" spans="5:26" x14ac:dyDescent="0.4">
      <c r="E212" s="63"/>
      <c r="F212" s="63"/>
      <c r="G212" s="63"/>
      <c r="H212" s="63"/>
      <c r="I212" s="63"/>
      <c r="J212" s="63"/>
      <c r="K212" s="63"/>
      <c r="L212" s="63"/>
      <c r="M212" s="63"/>
      <c r="N212" s="63"/>
      <c r="O212" s="63"/>
      <c r="P212" s="63"/>
      <c r="Q212" s="63"/>
      <c r="R212" s="63"/>
      <c r="S212" s="63"/>
      <c r="T212" s="63"/>
      <c r="U212" s="63"/>
      <c r="V212" s="63"/>
      <c r="W212" s="63"/>
      <c r="X212" s="63"/>
      <c r="Y212" s="63"/>
      <c r="Z212" s="63"/>
    </row>
    <row r="213" spans="5:26" x14ac:dyDescent="0.4">
      <c r="E213" s="63"/>
      <c r="F213" s="63"/>
      <c r="G213" s="63"/>
      <c r="H213" s="63"/>
      <c r="I213" s="63"/>
      <c r="J213" s="63"/>
      <c r="K213" s="63"/>
      <c r="L213" s="63"/>
      <c r="M213" s="63"/>
      <c r="N213" s="63"/>
      <c r="O213" s="63"/>
      <c r="P213" s="63"/>
      <c r="Q213" s="63"/>
      <c r="R213" s="63"/>
      <c r="S213" s="63"/>
      <c r="T213" s="63"/>
      <c r="U213" s="63"/>
      <c r="V213" s="63"/>
      <c r="W213" s="63"/>
      <c r="X213" s="63"/>
      <c r="Y213" s="63"/>
      <c r="Z213" s="63"/>
    </row>
    <row r="214" spans="5:26" x14ac:dyDescent="0.4">
      <c r="E214" s="63"/>
      <c r="F214" s="63"/>
      <c r="G214" s="63"/>
      <c r="H214" s="63"/>
      <c r="I214" s="63"/>
      <c r="J214" s="63"/>
      <c r="K214" s="63"/>
      <c r="L214" s="63"/>
      <c r="M214" s="63"/>
      <c r="N214" s="63"/>
      <c r="O214" s="63"/>
      <c r="P214" s="63"/>
      <c r="Q214" s="63"/>
      <c r="R214" s="63"/>
      <c r="S214" s="63"/>
      <c r="T214" s="63"/>
      <c r="U214" s="63"/>
      <c r="V214" s="63"/>
      <c r="W214" s="63"/>
      <c r="X214" s="63"/>
      <c r="Y214" s="63"/>
      <c r="Z214" s="63"/>
    </row>
    <row r="215" spans="5:26" x14ac:dyDescent="0.4">
      <c r="E215" s="63"/>
      <c r="F215" s="63"/>
      <c r="G215" s="63"/>
      <c r="H215" s="63"/>
      <c r="I215" s="63"/>
      <c r="J215" s="63"/>
      <c r="K215" s="63"/>
      <c r="L215" s="63"/>
      <c r="M215" s="63"/>
      <c r="N215" s="63"/>
      <c r="O215" s="63"/>
      <c r="P215" s="63"/>
      <c r="Q215" s="63"/>
      <c r="R215" s="63"/>
      <c r="S215" s="63"/>
      <c r="T215" s="63"/>
      <c r="U215" s="63"/>
      <c r="V215" s="63"/>
      <c r="W215" s="63"/>
      <c r="X215" s="63"/>
      <c r="Y215" s="63"/>
      <c r="Z215" s="63"/>
    </row>
    <row r="216" spans="5:26" x14ac:dyDescent="0.4">
      <c r="E216" s="63"/>
      <c r="F216" s="63"/>
      <c r="G216" s="63"/>
      <c r="H216" s="63"/>
      <c r="I216" s="63"/>
      <c r="J216" s="63"/>
      <c r="K216" s="63"/>
      <c r="L216" s="63"/>
      <c r="M216" s="63"/>
      <c r="N216" s="63"/>
      <c r="O216" s="63"/>
      <c r="P216" s="63"/>
      <c r="Q216" s="63"/>
      <c r="R216" s="63"/>
      <c r="S216" s="63"/>
      <c r="T216" s="63"/>
      <c r="U216" s="63"/>
      <c r="V216" s="63"/>
      <c r="W216" s="63"/>
      <c r="X216" s="63"/>
      <c r="Y216" s="63"/>
      <c r="Z216" s="63"/>
    </row>
    <row r="217" spans="5:26" x14ac:dyDescent="0.4">
      <c r="E217" s="63"/>
      <c r="F217" s="63"/>
      <c r="G217" s="63"/>
      <c r="H217" s="63"/>
      <c r="I217" s="63"/>
      <c r="J217" s="63"/>
      <c r="K217" s="63"/>
      <c r="L217" s="63"/>
      <c r="M217" s="63"/>
      <c r="N217" s="63"/>
      <c r="O217" s="63"/>
      <c r="P217" s="63"/>
      <c r="Q217" s="63"/>
      <c r="R217" s="63"/>
      <c r="S217" s="63"/>
      <c r="T217" s="63"/>
      <c r="U217" s="63"/>
      <c r="V217" s="63"/>
      <c r="W217" s="63"/>
      <c r="X217" s="63"/>
      <c r="Y217" s="63"/>
      <c r="Z217" s="63"/>
    </row>
    <row r="218" spans="5:26" x14ac:dyDescent="0.4">
      <c r="E218" s="63"/>
      <c r="F218" s="63"/>
      <c r="G218" s="63"/>
      <c r="H218" s="63"/>
      <c r="I218" s="63"/>
      <c r="J218" s="63"/>
      <c r="K218" s="63"/>
      <c r="L218" s="63"/>
      <c r="M218" s="63"/>
      <c r="N218" s="63"/>
      <c r="O218" s="63"/>
      <c r="P218" s="63"/>
      <c r="Q218" s="63"/>
      <c r="R218" s="63"/>
      <c r="S218" s="63"/>
      <c r="T218" s="63"/>
      <c r="U218" s="63"/>
      <c r="V218" s="63"/>
      <c r="W218" s="63"/>
      <c r="X218" s="63"/>
      <c r="Y218" s="63"/>
      <c r="Z218" s="63"/>
    </row>
    <row r="219" spans="5:26" x14ac:dyDescent="0.4">
      <c r="E219" s="63"/>
      <c r="F219" s="63"/>
      <c r="G219" s="63"/>
      <c r="H219" s="63"/>
      <c r="I219" s="63"/>
      <c r="J219" s="63"/>
      <c r="K219" s="63"/>
      <c r="L219" s="63"/>
      <c r="M219" s="63"/>
      <c r="N219" s="63"/>
      <c r="O219" s="63"/>
      <c r="P219" s="63"/>
      <c r="Q219" s="63"/>
      <c r="R219" s="63"/>
      <c r="S219" s="63"/>
      <c r="T219" s="63"/>
      <c r="U219" s="63"/>
      <c r="V219" s="63"/>
      <c r="W219" s="63"/>
      <c r="X219" s="63"/>
      <c r="Y219" s="63"/>
      <c r="Z219" s="63"/>
    </row>
    <row r="220" spans="5:26" x14ac:dyDescent="0.4">
      <c r="E220" s="63"/>
      <c r="F220" s="63"/>
      <c r="G220" s="63"/>
      <c r="H220" s="63"/>
      <c r="I220" s="63"/>
      <c r="J220" s="63"/>
      <c r="K220" s="63"/>
      <c r="L220" s="63"/>
      <c r="M220" s="63"/>
      <c r="N220" s="63"/>
      <c r="O220" s="63"/>
      <c r="P220" s="63"/>
      <c r="Q220" s="63"/>
      <c r="R220" s="63"/>
      <c r="S220" s="63"/>
      <c r="T220" s="63"/>
      <c r="U220" s="63"/>
      <c r="V220" s="63"/>
      <c r="W220" s="63"/>
      <c r="X220" s="63"/>
      <c r="Y220" s="63"/>
      <c r="Z220" s="63"/>
    </row>
    <row r="221" spans="5:26" x14ac:dyDescent="0.4">
      <c r="E221" s="63"/>
      <c r="F221" s="63"/>
      <c r="G221" s="63"/>
      <c r="H221" s="63"/>
      <c r="I221" s="63"/>
      <c r="J221" s="63"/>
      <c r="K221" s="63"/>
      <c r="L221" s="63"/>
      <c r="M221" s="63"/>
      <c r="N221" s="63"/>
      <c r="O221" s="63"/>
      <c r="P221" s="63"/>
      <c r="Q221" s="63"/>
      <c r="R221" s="63"/>
      <c r="S221" s="63"/>
      <c r="T221" s="63"/>
      <c r="U221" s="63"/>
      <c r="V221" s="63"/>
      <c r="W221" s="63"/>
      <c r="X221" s="63"/>
      <c r="Y221" s="63"/>
      <c r="Z221" s="63"/>
    </row>
    <row r="222" spans="5:26" x14ac:dyDescent="0.4">
      <c r="E222" s="63"/>
      <c r="F222" s="63"/>
      <c r="G222" s="63"/>
      <c r="H222" s="63"/>
      <c r="I222" s="63"/>
      <c r="J222" s="63"/>
      <c r="K222" s="63"/>
      <c r="L222" s="63"/>
      <c r="M222" s="63"/>
      <c r="N222" s="63"/>
      <c r="O222" s="63"/>
      <c r="P222" s="63"/>
      <c r="Q222" s="63"/>
      <c r="R222" s="63"/>
      <c r="S222" s="63"/>
      <c r="T222" s="63"/>
      <c r="U222" s="63"/>
      <c r="V222" s="63"/>
      <c r="W222" s="63"/>
      <c r="X222" s="63"/>
      <c r="Y222" s="63"/>
      <c r="Z222" s="63"/>
    </row>
    <row r="223" spans="5:26" x14ac:dyDescent="0.4">
      <c r="E223" s="63"/>
      <c r="F223" s="63"/>
      <c r="G223" s="63"/>
      <c r="H223" s="63"/>
      <c r="I223" s="63"/>
      <c r="J223" s="63"/>
      <c r="K223" s="63"/>
      <c r="L223" s="63"/>
      <c r="M223" s="63"/>
      <c r="N223" s="63"/>
      <c r="O223" s="63"/>
      <c r="P223" s="63"/>
      <c r="Q223" s="63"/>
      <c r="R223" s="63"/>
      <c r="S223" s="63"/>
      <c r="T223" s="63"/>
      <c r="U223" s="63"/>
      <c r="V223" s="63"/>
      <c r="W223" s="63"/>
      <c r="X223" s="63"/>
      <c r="Y223" s="63"/>
      <c r="Z223" s="63"/>
    </row>
    <row r="224" spans="5:26" x14ac:dyDescent="0.4">
      <c r="E224" s="63"/>
      <c r="F224" s="63"/>
      <c r="G224" s="63"/>
      <c r="H224" s="63"/>
      <c r="I224" s="63"/>
      <c r="J224" s="63"/>
      <c r="K224" s="63"/>
      <c r="L224" s="63"/>
      <c r="M224" s="63"/>
      <c r="N224" s="63"/>
      <c r="O224" s="63"/>
      <c r="P224" s="63"/>
      <c r="Q224" s="63"/>
      <c r="R224" s="63"/>
      <c r="S224" s="63"/>
      <c r="T224" s="63"/>
      <c r="U224" s="63"/>
      <c r="V224" s="63"/>
      <c r="W224" s="63"/>
      <c r="X224" s="63"/>
      <c r="Y224" s="63"/>
      <c r="Z224" s="63"/>
    </row>
    <row r="225" spans="5:26" x14ac:dyDescent="0.4">
      <c r="E225" s="63"/>
      <c r="F225" s="63"/>
      <c r="G225" s="63"/>
      <c r="H225" s="63"/>
      <c r="I225" s="63"/>
      <c r="J225" s="63"/>
      <c r="K225" s="63"/>
      <c r="L225" s="63"/>
      <c r="M225" s="63"/>
      <c r="N225" s="63"/>
      <c r="O225" s="63"/>
      <c r="P225" s="63"/>
      <c r="Q225" s="63"/>
      <c r="R225" s="63"/>
      <c r="S225" s="63"/>
      <c r="T225" s="63"/>
      <c r="U225" s="63"/>
      <c r="V225" s="63"/>
      <c r="W225" s="63"/>
      <c r="X225" s="63"/>
      <c r="Y225" s="63"/>
      <c r="Z225" s="63"/>
    </row>
    <row r="226" spans="5:26" x14ac:dyDescent="0.4">
      <c r="E226" s="63"/>
      <c r="F226" s="63"/>
      <c r="G226" s="63"/>
      <c r="H226" s="63"/>
      <c r="I226" s="63"/>
      <c r="J226" s="63"/>
      <c r="K226" s="63"/>
      <c r="L226" s="63"/>
      <c r="M226" s="63"/>
      <c r="N226" s="63"/>
      <c r="O226" s="63"/>
      <c r="P226" s="63"/>
      <c r="Q226" s="63"/>
      <c r="R226" s="63"/>
      <c r="S226" s="63"/>
      <c r="T226" s="63"/>
      <c r="U226" s="63"/>
      <c r="V226" s="63"/>
      <c r="W226" s="63"/>
      <c r="X226" s="63"/>
      <c r="Y226" s="63"/>
      <c r="Z226" s="63"/>
    </row>
    <row r="227" spans="5:26" x14ac:dyDescent="0.4">
      <c r="E227" s="63"/>
      <c r="F227" s="63"/>
      <c r="G227" s="63"/>
      <c r="H227" s="63"/>
      <c r="I227" s="63"/>
      <c r="J227" s="63"/>
      <c r="K227" s="63"/>
      <c r="L227" s="63"/>
      <c r="M227" s="63"/>
      <c r="N227" s="63"/>
      <c r="O227" s="63"/>
      <c r="P227" s="63"/>
      <c r="Q227" s="63"/>
      <c r="R227" s="63"/>
      <c r="S227" s="63"/>
      <c r="T227" s="63"/>
      <c r="U227" s="63"/>
      <c r="V227" s="63"/>
      <c r="W227" s="63"/>
      <c r="X227" s="63"/>
      <c r="Y227" s="63"/>
      <c r="Z227" s="63"/>
    </row>
    <row r="228" spans="5:26" x14ac:dyDescent="0.4">
      <c r="E228" s="63"/>
      <c r="F228" s="63"/>
      <c r="G228" s="63"/>
      <c r="H228" s="63"/>
      <c r="I228" s="63"/>
      <c r="J228" s="63"/>
      <c r="K228" s="63"/>
      <c r="L228" s="63"/>
      <c r="M228" s="63"/>
      <c r="N228" s="63"/>
      <c r="O228" s="63"/>
      <c r="P228" s="63"/>
      <c r="Q228" s="63"/>
      <c r="R228" s="63"/>
      <c r="S228" s="63"/>
      <c r="T228" s="63"/>
      <c r="U228" s="63"/>
      <c r="V228" s="63"/>
      <c r="W228" s="63"/>
      <c r="X228" s="63"/>
      <c r="Y228" s="63"/>
      <c r="Z228" s="63"/>
    </row>
  </sheetData>
  <sheetProtection selectLockedCells="1"/>
  <mergeCells count="44">
    <mergeCell ref="D29:F30"/>
    <mergeCell ref="D31:F32"/>
    <mergeCell ref="D13:F14"/>
    <mergeCell ref="D15:F16"/>
    <mergeCell ref="D17:F18"/>
    <mergeCell ref="D19:F20"/>
    <mergeCell ref="D21:F22"/>
    <mergeCell ref="D23:F24"/>
    <mergeCell ref="D25:F26"/>
    <mergeCell ref="D27:F28"/>
    <mergeCell ref="A21:B22"/>
    <mergeCell ref="A15:B16"/>
    <mergeCell ref="A29:B30"/>
    <mergeCell ref="A31:B32"/>
    <mergeCell ref="C21:C22"/>
    <mergeCell ref="C23:C24"/>
    <mergeCell ref="C25:C26"/>
    <mergeCell ref="C27:C28"/>
    <mergeCell ref="C29:C30"/>
    <mergeCell ref="C31:C32"/>
    <mergeCell ref="A27:B28"/>
    <mergeCell ref="A23:B24"/>
    <mergeCell ref="A25:B26"/>
    <mergeCell ref="C13:C14"/>
    <mergeCell ref="C15:C16"/>
    <mergeCell ref="C17:C18"/>
    <mergeCell ref="C19:C20"/>
    <mergeCell ref="A9:B10"/>
    <mergeCell ref="A11:B12"/>
    <mergeCell ref="C9:C10"/>
    <mergeCell ref="C11:C12"/>
    <mergeCell ref="A13:B14"/>
    <mergeCell ref="A17:B18"/>
    <mergeCell ref="A19:B20"/>
    <mergeCell ref="D9:F10"/>
    <mergeCell ref="D11:F12"/>
    <mergeCell ref="A5:B6"/>
    <mergeCell ref="A7:B8"/>
    <mergeCell ref="A4:B4"/>
    <mergeCell ref="C5:C6"/>
    <mergeCell ref="C7:C8"/>
    <mergeCell ref="D4:F4"/>
    <mergeCell ref="D5:F6"/>
    <mergeCell ref="D7:F8"/>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NextStep">
                <anchor>
                  <from>
                    <xdr:col>1</xdr:col>
                    <xdr:colOff>1667933</xdr:colOff>
                    <xdr:row>35</xdr:row>
                    <xdr:rowOff>29633</xdr:rowOff>
                  </from>
                  <to>
                    <xdr:col>3</xdr:col>
                    <xdr:colOff>143933</xdr:colOff>
                    <xdr:row>36</xdr:row>
                    <xdr:rowOff>46567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M33"/>
  <sheetViews>
    <sheetView workbookViewId="0">
      <selection activeCell="H26" sqref="H26"/>
    </sheetView>
  </sheetViews>
  <sheetFormatPr defaultColWidth="8.703125" defaultRowHeight="13" x14ac:dyDescent="0.45"/>
  <cols>
    <col min="1" max="5" width="8.703125" style="1"/>
    <col min="6" max="6" width="21.1171875" style="1" bestFit="1" customWidth="1"/>
    <col min="7" max="7" width="14" style="1" customWidth="1"/>
    <col min="8" max="16384" width="8.703125" style="1"/>
  </cols>
  <sheetData>
    <row r="2" spans="2:13" ht="15.35" x14ac:dyDescent="0.45">
      <c r="B2" s="347" t="s">
        <v>56</v>
      </c>
      <c r="C2" s="347"/>
      <c r="D2" s="347"/>
      <c r="E2" s="347"/>
      <c r="F2" s="347"/>
      <c r="G2" s="347"/>
      <c r="H2" s="347"/>
      <c r="I2" s="347"/>
      <c r="J2" s="347"/>
      <c r="K2" s="347"/>
      <c r="L2" s="347"/>
      <c r="M2" s="347"/>
    </row>
    <row r="3" spans="2:13" x14ac:dyDescent="0.45">
      <c r="B3" s="346" t="s">
        <v>60</v>
      </c>
      <c r="C3" s="346"/>
      <c r="D3" s="346"/>
      <c r="E3" s="346"/>
      <c r="F3" s="346"/>
      <c r="G3" s="346"/>
      <c r="H3" s="346"/>
      <c r="I3" s="346"/>
      <c r="J3" s="346"/>
      <c r="K3" s="346"/>
      <c r="L3" s="346"/>
      <c r="M3" s="346"/>
    </row>
    <row r="4" spans="2:13" x14ac:dyDescent="0.45">
      <c r="B4" s="346"/>
      <c r="C4" s="346"/>
      <c r="D4" s="346"/>
      <c r="E4" s="346"/>
      <c r="F4" s="346"/>
      <c r="G4" s="346"/>
      <c r="H4" s="346"/>
      <c r="I4" s="346"/>
      <c r="J4" s="346"/>
      <c r="K4" s="346"/>
      <c r="L4" s="346"/>
      <c r="M4" s="346"/>
    </row>
    <row r="5" spans="2:13" x14ac:dyDescent="0.45">
      <c r="B5" s="346"/>
      <c r="C5" s="346"/>
      <c r="D5" s="346"/>
      <c r="E5" s="346"/>
      <c r="F5" s="346"/>
      <c r="G5" s="346"/>
      <c r="H5" s="346"/>
      <c r="I5" s="346"/>
      <c r="J5" s="346"/>
      <c r="K5" s="346"/>
      <c r="L5" s="346"/>
      <c r="M5" s="346"/>
    </row>
    <row r="6" spans="2:13" x14ac:dyDescent="0.45">
      <c r="B6" s="346"/>
      <c r="C6" s="346"/>
      <c r="D6" s="346"/>
      <c r="E6" s="346"/>
      <c r="F6" s="346"/>
      <c r="G6" s="346"/>
      <c r="H6" s="346"/>
      <c r="I6" s="346"/>
      <c r="J6" s="346"/>
      <c r="K6" s="346"/>
      <c r="L6" s="346"/>
      <c r="M6" s="346"/>
    </row>
    <row r="7" spans="2:13" x14ac:dyDescent="0.45">
      <c r="B7" s="346"/>
      <c r="C7" s="346"/>
      <c r="D7" s="346"/>
      <c r="E7" s="346"/>
      <c r="F7" s="346"/>
      <c r="G7" s="346"/>
      <c r="H7" s="346"/>
      <c r="I7" s="346"/>
      <c r="J7" s="346"/>
      <c r="K7" s="346"/>
      <c r="L7" s="346"/>
      <c r="M7" s="346"/>
    </row>
    <row r="8" spans="2:13" ht="9.75" customHeight="1" thickBot="1" x14ac:dyDescent="0.5">
      <c r="B8" s="346"/>
      <c r="C8" s="346"/>
      <c r="D8" s="346"/>
      <c r="E8" s="346"/>
      <c r="F8" s="346"/>
      <c r="G8" s="346"/>
      <c r="H8" s="346"/>
      <c r="I8" s="346"/>
      <c r="J8" s="346"/>
      <c r="K8" s="346"/>
      <c r="L8" s="346"/>
      <c r="M8" s="346"/>
    </row>
    <row r="9" spans="2:13" ht="13.5" hidden="1" customHeight="1" x14ac:dyDescent="0.45">
      <c r="B9" s="346"/>
      <c r="C9" s="346"/>
      <c r="D9" s="346"/>
      <c r="E9" s="346"/>
      <c r="F9" s="346"/>
      <c r="G9" s="346"/>
      <c r="H9" s="346"/>
      <c r="I9" s="346"/>
      <c r="J9" s="346"/>
      <c r="K9" s="346"/>
      <c r="L9" s="346"/>
      <c r="M9" s="346"/>
    </row>
    <row r="10" spans="2:13" hidden="1" x14ac:dyDescent="0.45">
      <c r="B10" s="346"/>
      <c r="C10" s="346"/>
      <c r="D10" s="346"/>
      <c r="E10" s="346"/>
      <c r="F10" s="346"/>
      <c r="G10" s="346"/>
      <c r="H10" s="346"/>
      <c r="I10" s="346"/>
      <c r="J10" s="346"/>
      <c r="K10" s="346"/>
      <c r="L10" s="346"/>
      <c r="M10" s="346"/>
    </row>
    <row r="11" spans="2:13" hidden="1" x14ac:dyDescent="0.45">
      <c r="B11" s="346"/>
      <c r="C11" s="346"/>
      <c r="D11" s="346"/>
      <c r="E11" s="346"/>
      <c r="F11" s="346"/>
      <c r="G11" s="346"/>
      <c r="H11" s="346"/>
      <c r="I11" s="346"/>
      <c r="J11" s="346"/>
      <c r="K11" s="346"/>
      <c r="L11" s="346"/>
      <c r="M11" s="346"/>
    </row>
    <row r="12" spans="2:13" hidden="1" x14ac:dyDescent="0.45">
      <c r="B12" s="346"/>
      <c r="C12" s="346"/>
      <c r="D12" s="346"/>
      <c r="E12" s="346"/>
      <c r="F12" s="346"/>
      <c r="G12" s="346"/>
      <c r="H12" s="346"/>
      <c r="I12" s="346"/>
      <c r="J12" s="346"/>
      <c r="K12" s="346"/>
      <c r="L12" s="346"/>
      <c r="M12" s="346"/>
    </row>
    <row r="13" spans="2:13" ht="15.35" x14ac:dyDescent="0.5">
      <c r="F13" s="34" t="s">
        <v>0</v>
      </c>
      <c r="G13" s="35" t="s">
        <v>1</v>
      </c>
    </row>
    <row r="14" spans="2:13" x14ac:dyDescent="0.45">
      <c r="F14" s="36" t="s">
        <v>154</v>
      </c>
      <c r="G14" s="37">
        <v>500</v>
      </c>
    </row>
    <row r="15" spans="2:13" x14ac:dyDescent="0.45">
      <c r="F15" s="36" t="s">
        <v>168</v>
      </c>
      <c r="G15" s="37">
        <v>440</v>
      </c>
    </row>
    <row r="16" spans="2:13" x14ac:dyDescent="0.45">
      <c r="F16" s="36" t="s">
        <v>169</v>
      </c>
      <c r="G16" s="37">
        <v>410</v>
      </c>
    </row>
    <row r="17" spans="2:13" x14ac:dyDescent="0.45">
      <c r="F17" s="36" t="s">
        <v>144</v>
      </c>
      <c r="G17" s="37">
        <v>380</v>
      </c>
    </row>
    <row r="18" spans="2:13" x14ac:dyDescent="0.45">
      <c r="F18" s="36" t="s">
        <v>145</v>
      </c>
      <c r="G18" s="37">
        <v>350</v>
      </c>
    </row>
    <row r="19" spans="2:13" x14ac:dyDescent="0.45">
      <c r="F19" s="36" t="s">
        <v>170</v>
      </c>
      <c r="G19" s="37">
        <v>320</v>
      </c>
    </row>
    <row r="20" spans="2:13" x14ac:dyDescent="0.45">
      <c r="F20" s="36" t="s">
        <v>171</v>
      </c>
      <c r="G20" s="37">
        <v>290</v>
      </c>
    </row>
    <row r="21" spans="2:13" x14ac:dyDescent="0.45">
      <c r="F21" s="36" t="s">
        <v>147</v>
      </c>
      <c r="G21" s="37">
        <v>260</v>
      </c>
    </row>
    <row r="22" spans="2:13" x14ac:dyDescent="0.45">
      <c r="F22" s="36" t="s">
        <v>153</v>
      </c>
      <c r="G22" s="37">
        <v>230</v>
      </c>
    </row>
    <row r="23" spans="2:13" ht="15" customHeight="1" x14ac:dyDescent="0.45">
      <c r="F23" s="36" t="s">
        <v>152</v>
      </c>
      <c r="G23" s="37">
        <v>200</v>
      </c>
    </row>
    <row r="24" spans="2:13" ht="15" customHeight="1" x14ac:dyDescent="0.45">
      <c r="F24" s="36" t="s">
        <v>146</v>
      </c>
      <c r="G24" s="37">
        <v>170</v>
      </c>
    </row>
    <row r="25" spans="2:13" ht="15" customHeight="1" x14ac:dyDescent="0.45">
      <c r="F25" s="38" t="s">
        <v>155</v>
      </c>
      <c r="G25" s="39">
        <v>200</v>
      </c>
    </row>
    <row r="26" spans="2:13" ht="15" customHeight="1" x14ac:dyDescent="0.45"/>
    <row r="27" spans="2:13" ht="15" customHeight="1" x14ac:dyDescent="0.45">
      <c r="B27" s="346" t="s">
        <v>172</v>
      </c>
      <c r="C27" s="346"/>
      <c r="D27" s="346"/>
      <c r="E27" s="346"/>
      <c r="F27" s="346"/>
      <c r="G27" s="346"/>
      <c r="H27" s="346"/>
      <c r="I27" s="346"/>
      <c r="J27" s="346"/>
      <c r="K27" s="346"/>
      <c r="L27" s="346"/>
      <c r="M27" s="346"/>
    </row>
    <row r="28" spans="2:13" ht="3" customHeight="1" x14ac:dyDescent="0.45">
      <c r="B28" s="346"/>
      <c r="C28" s="346"/>
      <c r="D28" s="346"/>
      <c r="E28" s="346"/>
      <c r="F28" s="346"/>
      <c r="G28" s="346"/>
      <c r="H28" s="346"/>
      <c r="I28" s="346"/>
      <c r="J28" s="346"/>
      <c r="K28" s="346"/>
      <c r="L28" s="346"/>
      <c r="M28" s="346"/>
    </row>
    <row r="29" spans="2:13" ht="32.25" customHeight="1" x14ac:dyDescent="0.45">
      <c r="B29" s="346"/>
      <c r="C29" s="346"/>
      <c r="D29" s="346"/>
      <c r="E29" s="346"/>
      <c r="F29" s="346"/>
      <c r="G29" s="346"/>
      <c r="H29" s="346"/>
      <c r="I29" s="346"/>
      <c r="J29" s="346"/>
      <c r="K29" s="346"/>
      <c r="L29" s="346"/>
      <c r="M29" s="346"/>
    </row>
    <row r="31" spans="2:13" ht="15" customHeight="1" x14ac:dyDescent="0.45">
      <c r="E31" s="33" t="s">
        <v>173</v>
      </c>
    </row>
    <row r="32" spans="2:13" ht="15" customHeight="1" x14ac:dyDescent="0.45">
      <c r="D32" s="1" t="s">
        <v>57</v>
      </c>
      <c r="E32" s="3" t="s">
        <v>58</v>
      </c>
    </row>
    <row r="33" spans="5:7" ht="15" customHeight="1" x14ac:dyDescent="0.45">
      <c r="E33" s="2" t="s">
        <v>174</v>
      </c>
      <c r="G33" s="1" t="s">
        <v>59</v>
      </c>
    </row>
  </sheetData>
  <sheetProtection algorithmName="SHA-512" hashValue="L9opMTG+bJvQRHi70kSzMJTWp6SaCFgpuDh3C0viIW6qXjjkQWX1o8bRmi3FQA0zVRd8/FclYe6lCvfmTItyEA==" saltValue="WhLRuVSyQMLugkvaqAQlcg==" spinCount="100000" sheet="1" objects="1" scenarios="1" selectLockedCells="1" selectUnlockedCells="1"/>
  <mergeCells count="3">
    <mergeCell ref="B27:M29"/>
    <mergeCell ref="B2:M2"/>
    <mergeCell ref="B3:M12"/>
  </mergeCells>
  <phoneticPr fontId="2" type="noConversion"/>
  <pageMargins left="0.75" right="0.75" top="1" bottom="1" header="0.5" footer="0.5"/>
  <headerFooter alignWithMargins="0"/>
  <ignoredErrors>
    <ignoredError sqref="E31:E32" numberStoredAsText="1"/>
  </ignoredErrors>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0"/>
  </sheetPr>
  <dimension ref="A1:BT178"/>
  <sheetViews>
    <sheetView workbookViewId="0">
      <selection activeCell="G22" sqref="G22"/>
    </sheetView>
  </sheetViews>
  <sheetFormatPr defaultColWidth="8.703125" defaultRowHeight="12.7" x14ac:dyDescent="0.4"/>
  <cols>
    <col min="1" max="1" width="17" style="69" bestFit="1" customWidth="1"/>
    <col min="2" max="2" width="12.29296875" style="69" hidden="1" customWidth="1"/>
    <col min="3" max="3" width="32.703125" style="69" hidden="1" customWidth="1"/>
    <col min="4" max="4" width="7.41015625" style="69" bestFit="1" customWidth="1"/>
    <col min="5" max="5" width="6.41015625" style="69" customWidth="1"/>
    <col min="6" max="6" width="28.1171875" style="69" bestFit="1" customWidth="1"/>
    <col min="7" max="7" width="23.87890625" style="69" bestFit="1" customWidth="1"/>
    <col min="8" max="8" width="7" style="69" hidden="1" customWidth="1"/>
    <col min="9" max="9" width="11.703125" style="69" hidden="1" customWidth="1"/>
    <col min="10" max="10" width="33.1171875" style="69" hidden="1" customWidth="1"/>
    <col min="11" max="11" width="9.29296875" style="69" customWidth="1"/>
    <col min="12" max="12" width="51.703125" style="69" bestFit="1" customWidth="1"/>
    <col min="13" max="13" width="47.41015625" style="69" bestFit="1" customWidth="1"/>
    <col min="14" max="14" width="7" style="69" hidden="1" customWidth="1"/>
    <col min="15" max="15" width="11.703125" style="69" hidden="1" customWidth="1"/>
    <col min="16" max="16" width="34.1171875" style="69" hidden="1" customWidth="1"/>
    <col min="17" max="17" width="8.41015625" style="69" customWidth="1"/>
    <col min="18" max="18" width="47.5859375" style="69" bestFit="1" customWidth="1"/>
    <col min="19" max="19" width="11.29296875" style="69" bestFit="1" customWidth="1"/>
    <col min="20" max="20" width="12.29296875" style="69" hidden="1" customWidth="1"/>
    <col min="21" max="21" width="30.703125" style="69" hidden="1" customWidth="1"/>
    <col min="22" max="22" width="8.703125" style="69" customWidth="1"/>
    <col min="23" max="23" width="38.5859375" style="69" bestFit="1" customWidth="1"/>
    <col min="24" max="24" width="12.29296875" style="69" hidden="1" customWidth="1"/>
    <col min="25" max="25" width="32.703125" style="69" hidden="1" customWidth="1"/>
    <col min="26" max="26" width="7" style="69" bestFit="1" customWidth="1"/>
    <col min="27" max="27" width="6" style="69" customWidth="1"/>
    <col min="28" max="28" width="30.41015625" style="69" customWidth="1"/>
    <col min="29" max="30" width="9.1171875" style="69" customWidth="1"/>
    <col min="31" max="31" width="7.703125" style="69" customWidth="1"/>
    <col min="32" max="32" width="9.1171875" style="69" customWidth="1"/>
    <col min="33" max="33" width="18.1171875" style="69" bestFit="1" customWidth="1"/>
    <col min="34" max="34" width="11.703125" style="69" hidden="1" customWidth="1"/>
    <col min="35" max="35" width="38.703125" style="69" hidden="1" customWidth="1"/>
    <col min="36" max="36" width="9.1171875" style="69" customWidth="1"/>
    <col min="37" max="37" width="18" style="69" bestFit="1" customWidth="1"/>
    <col min="38" max="38" width="11.703125" style="69" hidden="1" customWidth="1"/>
    <col min="39" max="39" width="35" style="69" hidden="1" customWidth="1"/>
    <col min="40" max="40" width="9.1171875" style="69" customWidth="1"/>
    <col min="41" max="41" width="12.5859375" style="69" customWidth="1"/>
    <col min="42" max="42" width="11.703125" style="69" hidden="1" customWidth="1"/>
    <col min="43" max="43" width="31.703125" style="69" hidden="1" customWidth="1"/>
    <col min="44" max="44" width="8.703125" style="69"/>
    <col min="45" max="45" width="24.1171875" style="69" bestFit="1" customWidth="1"/>
    <col min="46" max="46" width="11.703125" style="69" hidden="1" customWidth="1"/>
    <col min="47" max="47" width="29" style="69" hidden="1" customWidth="1"/>
    <col min="48" max="48" width="8.703125" style="69"/>
    <col min="49" max="49" width="22.29296875" style="69" bestFit="1" customWidth="1"/>
    <col min="50" max="50" width="11.703125" style="69" hidden="1" customWidth="1"/>
    <col min="51" max="51" width="33.41015625" style="69" hidden="1" customWidth="1"/>
    <col min="52" max="52" width="8.703125" style="69"/>
    <col min="53" max="53" width="25.41015625" style="69" bestFit="1" customWidth="1"/>
    <col min="54" max="54" width="11.703125" style="69" hidden="1" customWidth="1"/>
    <col min="55" max="55" width="36.29296875" style="69" hidden="1" customWidth="1"/>
    <col min="56" max="56" width="8.703125" style="69"/>
    <col min="57" max="57" width="21.5859375" style="69" bestFit="1" customWidth="1"/>
    <col min="58" max="58" width="11.703125" style="69" hidden="1" customWidth="1"/>
    <col min="59" max="59" width="7.1171875" style="69" hidden="1" customWidth="1"/>
    <col min="60" max="60" width="8.703125" style="69"/>
    <col min="61" max="61" width="33.5859375" style="69" bestFit="1" customWidth="1"/>
    <col min="62" max="62" width="11.703125" style="69" hidden="1" customWidth="1"/>
    <col min="63" max="63" width="29.41015625" style="69" hidden="1" customWidth="1"/>
    <col min="64" max="64" width="8.703125" style="69"/>
    <col min="65" max="65" width="26.87890625" style="69" bestFit="1" customWidth="1"/>
    <col min="66" max="66" width="11.703125" style="69" hidden="1" customWidth="1"/>
    <col min="67" max="67" width="29.41015625" style="69" hidden="1" customWidth="1"/>
    <col min="68" max="68" width="10.1171875" style="69" customWidth="1"/>
    <col min="69" max="69" width="20.41015625" style="69" bestFit="1" customWidth="1"/>
    <col min="70" max="70" width="16.29296875" style="69" hidden="1" customWidth="1"/>
    <col min="71" max="71" width="32.703125" style="69" hidden="1" customWidth="1"/>
    <col min="72" max="72" width="6.5859375" style="69" bestFit="1" customWidth="1"/>
    <col min="73" max="16384" width="8.703125" style="69"/>
  </cols>
  <sheetData>
    <row r="1" spans="1:72" x14ac:dyDescent="0.4">
      <c r="A1" s="69" t="s">
        <v>33</v>
      </c>
      <c r="B1" s="69" t="s">
        <v>309</v>
      </c>
      <c r="C1" s="69" t="s">
        <v>308</v>
      </c>
      <c r="D1" s="69" t="s">
        <v>626</v>
      </c>
      <c r="F1" s="69" t="s">
        <v>156</v>
      </c>
      <c r="G1" s="69" t="s">
        <v>310</v>
      </c>
      <c r="H1" s="69" t="s">
        <v>362</v>
      </c>
      <c r="I1" s="69" t="s">
        <v>309</v>
      </c>
      <c r="J1" s="69" t="s">
        <v>308</v>
      </c>
      <c r="L1" s="69" t="s">
        <v>266</v>
      </c>
      <c r="M1" s="69" t="s">
        <v>311</v>
      </c>
      <c r="N1" s="69" t="s">
        <v>362</v>
      </c>
      <c r="O1" s="69" t="s">
        <v>309</v>
      </c>
      <c r="P1" s="69" t="s">
        <v>308</v>
      </c>
      <c r="R1" s="69" t="s">
        <v>34</v>
      </c>
      <c r="S1" s="69" t="s">
        <v>35</v>
      </c>
      <c r="T1" s="69" t="s">
        <v>309</v>
      </c>
      <c r="U1" s="69" t="s">
        <v>308</v>
      </c>
      <c r="W1" s="69" t="s">
        <v>36</v>
      </c>
      <c r="X1" s="69" t="s">
        <v>309</v>
      </c>
      <c r="Y1" s="69" t="s">
        <v>308</v>
      </c>
      <c r="Z1" s="69" t="s">
        <v>362</v>
      </c>
      <c r="AB1" s="70" t="s">
        <v>55</v>
      </c>
      <c r="AD1" s="69" t="s">
        <v>277</v>
      </c>
      <c r="AE1" s="71">
        <v>1.25</v>
      </c>
      <c r="AG1" s="69" t="s">
        <v>501</v>
      </c>
      <c r="AH1" s="69" t="s">
        <v>309</v>
      </c>
      <c r="AI1" s="69" t="s">
        <v>308</v>
      </c>
      <c r="AK1" s="69" t="s">
        <v>162</v>
      </c>
      <c r="AL1" s="69" t="s">
        <v>309</v>
      </c>
      <c r="AM1" s="69" t="s">
        <v>308</v>
      </c>
      <c r="AO1" s="69" t="s">
        <v>160</v>
      </c>
      <c r="AP1" s="69" t="s">
        <v>309</v>
      </c>
      <c r="AQ1" s="69" t="s">
        <v>308</v>
      </c>
      <c r="AS1" s="69" t="s">
        <v>458</v>
      </c>
      <c r="AT1" s="69" t="s">
        <v>309</v>
      </c>
      <c r="AU1" s="69" t="s">
        <v>308</v>
      </c>
      <c r="AW1" s="69" t="s">
        <v>463</v>
      </c>
      <c r="AX1" s="69" t="s">
        <v>309</v>
      </c>
      <c r="AY1" s="69" t="s">
        <v>308</v>
      </c>
      <c r="BA1" s="69" t="s">
        <v>465</v>
      </c>
      <c r="BB1" s="69" t="s">
        <v>309</v>
      </c>
      <c r="BC1" s="69" t="s">
        <v>308</v>
      </c>
      <c r="BE1" s="69" t="s">
        <v>629</v>
      </c>
      <c r="BF1" s="69" t="s">
        <v>309</v>
      </c>
      <c r="BG1" s="69" t="s">
        <v>308</v>
      </c>
      <c r="BI1" s="69" t="s">
        <v>469</v>
      </c>
      <c r="BJ1" s="69" t="s">
        <v>309</v>
      </c>
      <c r="BK1" s="69" t="s">
        <v>308</v>
      </c>
      <c r="BM1" s="69" t="s">
        <v>474</v>
      </c>
      <c r="BN1" s="69" t="s">
        <v>309</v>
      </c>
      <c r="BO1" s="69" t="s">
        <v>308</v>
      </c>
      <c r="BQ1" s="69" t="s">
        <v>589</v>
      </c>
      <c r="BR1" s="69" t="s">
        <v>309</v>
      </c>
      <c r="BS1" s="69" t="s">
        <v>308</v>
      </c>
      <c r="BT1" s="69" t="s">
        <v>624</v>
      </c>
    </row>
    <row r="2" spans="1:72" x14ac:dyDescent="0.4">
      <c r="A2" s="72" t="s">
        <v>623</v>
      </c>
      <c r="B2" s="72" t="s">
        <v>546</v>
      </c>
      <c r="C2" s="72" t="s">
        <v>350</v>
      </c>
      <c r="D2" s="72">
        <v>1</v>
      </c>
      <c r="E2" s="72"/>
      <c r="F2" s="72" t="s">
        <v>220</v>
      </c>
      <c r="G2" s="72" t="s">
        <v>142</v>
      </c>
      <c r="H2" s="72">
        <v>1</v>
      </c>
      <c r="I2" s="72" t="s">
        <v>546</v>
      </c>
      <c r="J2" s="72" t="s">
        <v>363</v>
      </c>
      <c r="L2" s="72" t="s">
        <v>360</v>
      </c>
      <c r="M2" s="72" t="s">
        <v>565</v>
      </c>
      <c r="N2" s="72">
        <v>1</v>
      </c>
      <c r="O2" s="72" t="s">
        <v>546</v>
      </c>
      <c r="P2" s="72" t="s">
        <v>369</v>
      </c>
      <c r="Q2" s="72"/>
      <c r="R2" s="72" t="s">
        <v>146</v>
      </c>
      <c r="S2" s="73">
        <v>1900</v>
      </c>
      <c r="T2" s="72" t="s">
        <v>546</v>
      </c>
      <c r="U2" s="72" t="s">
        <v>351</v>
      </c>
      <c r="V2" s="72"/>
      <c r="W2" s="72" t="s">
        <v>43</v>
      </c>
      <c r="X2" s="72" t="s">
        <v>546</v>
      </c>
      <c r="Y2" s="72" t="s">
        <v>352</v>
      </c>
      <c r="Z2" s="72">
        <v>1</v>
      </c>
      <c r="AA2" s="72"/>
      <c r="AB2" s="69" t="s">
        <v>288</v>
      </c>
      <c r="AD2" s="69" t="s">
        <v>278</v>
      </c>
      <c r="AE2" s="71">
        <v>1</v>
      </c>
      <c r="AG2" s="72" t="s">
        <v>93</v>
      </c>
      <c r="AH2" s="72" t="s">
        <v>546</v>
      </c>
      <c r="AI2" s="72" t="s">
        <v>502</v>
      </c>
      <c r="AK2" s="72" t="s">
        <v>547</v>
      </c>
      <c r="AL2" s="72" t="s">
        <v>546</v>
      </c>
      <c r="AM2" s="72" t="s">
        <v>529</v>
      </c>
      <c r="AO2" s="72" t="s">
        <v>290</v>
      </c>
      <c r="AP2" s="72" t="s">
        <v>546</v>
      </c>
      <c r="AQ2" s="72" t="s">
        <v>528</v>
      </c>
      <c r="AS2" s="72" t="s">
        <v>459</v>
      </c>
      <c r="AT2" s="72" t="s">
        <v>546</v>
      </c>
      <c r="AU2" s="72" t="s">
        <v>460</v>
      </c>
      <c r="AW2" s="72" t="s">
        <v>297</v>
      </c>
      <c r="AX2" s="72" t="s">
        <v>546</v>
      </c>
      <c r="AY2" s="72" t="s">
        <v>464</v>
      </c>
      <c r="BA2" s="72" t="s">
        <v>467</v>
      </c>
      <c r="BB2" s="72" t="s">
        <v>546</v>
      </c>
      <c r="BC2" s="72" t="s">
        <v>466</v>
      </c>
      <c r="BE2" s="72" t="s">
        <v>530</v>
      </c>
      <c r="BF2" s="72" t="s">
        <v>546</v>
      </c>
      <c r="BG2" s="72" t="s">
        <v>531</v>
      </c>
      <c r="BI2" s="72" t="s">
        <v>471</v>
      </c>
      <c r="BJ2" s="72" t="s">
        <v>546</v>
      </c>
      <c r="BK2" s="72" t="s">
        <v>470</v>
      </c>
      <c r="BM2" s="72" t="s">
        <v>301</v>
      </c>
      <c r="BN2" s="72" t="s">
        <v>546</v>
      </c>
      <c r="BO2" s="72" t="s">
        <v>475</v>
      </c>
      <c r="BP2" s="72"/>
      <c r="BQ2" s="72" t="s">
        <v>224</v>
      </c>
      <c r="BR2" s="72" t="s">
        <v>546</v>
      </c>
      <c r="BS2" s="72" t="s">
        <v>588</v>
      </c>
      <c r="BT2" s="72">
        <v>1</v>
      </c>
    </row>
    <row r="3" spans="1:72" x14ac:dyDescent="0.4">
      <c r="A3" s="72" t="s">
        <v>252</v>
      </c>
      <c r="B3" s="72" t="s">
        <v>546</v>
      </c>
      <c r="C3" s="72" t="s">
        <v>350</v>
      </c>
      <c r="D3" s="72">
        <v>2</v>
      </c>
      <c r="E3" s="72"/>
      <c r="F3" s="72" t="s">
        <v>252</v>
      </c>
      <c r="G3" s="72" t="s">
        <v>190</v>
      </c>
      <c r="H3" s="72">
        <v>1</v>
      </c>
      <c r="I3" s="72" t="s">
        <v>546</v>
      </c>
      <c r="J3" s="72" t="s">
        <v>363</v>
      </c>
      <c r="L3" s="72" t="s">
        <v>628</v>
      </c>
      <c r="M3" s="72" t="s">
        <v>622</v>
      </c>
      <c r="N3" s="72">
        <v>1</v>
      </c>
      <c r="O3" s="72" t="s">
        <v>546</v>
      </c>
      <c r="P3" s="72" t="s">
        <v>369</v>
      </c>
      <c r="Q3" s="72"/>
      <c r="R3" s="72" t="s">
        <v>153</v>
      </c>
      <c r="S3" s="73">
        <v>2500</v>
      </c>
      <c r="T3" s="72" t="s">
        <v>546</v>
      </c>
      <c r="U3" s="72" t="s">
        <v>351</v>
      </c>
      <c r="V3" s="72"/>
      <c r="W3" s="72" t="s">
        <v>158</v>
      </c>
      <c r="X3" s="72" t="s">
        <v>546</v>
      </c>
      <c r="Y3" s="72" t="s">
        <v>352</v>
      </c>
      <c r="Z3" s="72">
        <v>1</v>
      </c>
      <c r="AA3" s="72"/>
      <c r="AB3" s="69" t="s">
        <v>37</v>
      </c>
      <c r="AD3" s="69" t="s">
        <v>279</v>
      </c>
      <c r="AE3" s="71">
        <f>1/AE1</f>
        <v>0.8</v>
      </c>
      <c r="AG3" s="72" t="s">
        <v>94</v>
      </c>
      <c r="AH3" s="72" t="s">
        <v>546</v>
      </c>
      <c r="AI3" s="72" t="s">
        <v>502</v>
      </c>
      <c r="AK3" s="72" t="s">
        <v>163</v>
      </c>
      <c r="AL3" s="72" t="s">
        <v>546</v>
      </c>
      <c r="AM3" s="72" t="s">
        <v>529</v>
      </c>
      <c r="AO3" s="72" t="s">
        <v>540</v>
      </c>
      <c r="AP3" s="72" t="s">
        <v>546</v>
      </c>
      <c r="AQ3" s="72" t="s">
        <v>528</v>
      </c>
      <c r="AS3" s="72" t="s">
        <v>292</v>
      </c>
      <c r="AT3" s="72" t="s">
        <v>546</v>
      </c>
      <c r="AU3" s="72" t="s">
        <v>460</v>
      </c>
      <c r="AW3" s="72" t="s">
        <v>468</v>
      </c>
      <c r="AX3" s="72" t="s">
        <v>546</v>
      </c>
      <c r="AY3" s="72" t="s">
        <v>464</v>
      </c>
      <c r="BA3" s="72" t="s">
        <v>302</v>
      </c>
      <c r="BB3" s="72" t="s">
        <v>546</v>
      </c>
      <c r="BC3" s="72" t="s">
        <v>466</v>
      </c>
      <c r="BE3" s="72" t="s">
        <v>532</v>
      </c>
      <c r="BF3" s="72" t="s">
        <v>546</v>
      </c>
      <c r="BG3" s="72" t="s">
        <v>531</v>
      </c>
      <c r="BI3" s="72" t="s">
        <v>472</v>
      </c>
      <c r="BJ3" s="72" t="s">
        <v>546</v>
      </c>
      <c r="BK3" s="72" t="s">
        <v>470</v>
      </c>
      <c r="BM3" s="72" t="s">
        <v>161</v>
      </c>
      <c r="BN3" s="72" t="s">
        <v>546</v>
      </c>
      <c r="BO3" s="72" t="s">
        <v>475</v>
      </c>
      <c r="BP3" s="72"/>
      <c r="BQ3" s="72" t="s">
        <v>225</v>
      </c>
      <c r="BR3" s="72" t="s">
        <v>546</v>
      </c>
      <c r="BS3" s="72" t="s">
        <v>588</v>
      </c>
      <c r="BT3" s="72">
        <v>1</v>
      </c>
    </row>
    <row r="4" spans="1:72" x14ac:dyDescent="0.4">
      <c r="A4" s="72" t="s">
        <v>221</v>
      </c>
      <c r="B4" s="72" t="s">
        <v>546</v>
      </c>
      <c r="C4" s="72" t="s">
        <v>350</v>
      </c>
      <c r="D4" s="72">
        <v>3</v>
      </c>
      <c r="E4" s="72"/>
      <c r="F4" s="72" t="s">
        <v>364</v>
      </c>
      <c r="G4" s="72" t="s">
        <v>408</v>
      </c>
      <c r="H4" s="72">
        <v>1</v>
      </c>
      <c r="I4" s="72" t="s">
        <v>546</v>
      </c>
      <c r="J4" s="72" t="s">
        <v>363</v>
      </c>
      <c r="L4" s="72" t="s">
        <v>654</v>
      </c>
      <c r="M4" s="72" t="s">
        <v>622</v>
      </c>
      <c r="N4" s="72">
        <v>1</v>
      </c>
      <c r="O4" s="72" t="s">
        <v>546</v>
      </c>
      <c r="P4" s="72" t="s">
        <v>369</v>
      </c>
      <c r="Q4" s="72"/>
      <c r="R4" s="72" t="s">
        <v>147</v>
      </c>
      <c r="S4" s="73">
        <v>2800</v>
      </c>
      <c r="T4" s="72" t="s">
        <v>546</v>
      </c>
      <c r="U4" s="72" t="s">
        <v>351</v>
      </c>
      <c r="V4" s="72"/>
      <c r="W4" s="72" t="s">
        <v>143</v>
      </c>
      <c r="X4" s="72" t="s">
        <v>546</v>
      </c>
      <c r="Y4" s="72" t="s">
        <v>352</v>
      </c>
      <c r="Z4" s="72">
        <v>1</v>
      </c>
      <c r="AA4" s="72"/>
      <c r="AG4" s="72" t="s">
        <v>139</v>
      </c>
      <c r="AH4" s="72" t="s">
        <v>546</v>
      </c>
      <c r="AI4" s="72" t="s">
        <v>502</v>
      </c>
      <c r="AK4" s="72" t="s">
        <v>548</v>
      </c>
      <c r="AL4" s="72" t="s">
        <v>546</v>
      </c>
      <c r="AM4" s="72" t="s">
        <v>529</v>
      </c>
      <c r="AO4" s="72" t="s">
        <v>541</v>
      </c>
      <c r="AP4" s="72" t="s">
        <v>546</v>
      </c>
      <c r="AQ4" s="72" t="s">
        <v>528</v>
      </c>
      <c r="AS4" s="72" t="s">
        <v>461</v>
      </c>
      <c r="AT4" s="72" t="s">
        <v>546</v>
      </c>
      <c r="AU4" s="72" t="s">
        <v>460</v>
      </c>
      <c r="AW4" s="72" t="s">
        <v>534</v>
      </c>
      <c r="AX4" s="72" t="s">
        <v>546</v>
      </c>
      <c r="AY4" s="72" t="s">
        <v>464</v>
      </c>
      <c r="BA4" s="72" t="s">
        <v>304</v>
      </c>
      <c r="BB4" s="72" t="s">
        <v>546</v>
      </c>
      <c r="BC4" s="72" t="s">
        <v>466</v>
      </c>
      <c r="BE4" s="72" t="s">
        <v>533</v>
      </c>
      <c r="BF4" s="72" t="s">
        <v>546</v>
      </c>
      <c r="BG4" s="72" t="s">
        <v>531</v>
      </c>
      <c r="BI4" s="72" t="s">
        <v>186</v>
      </c>
      <c r="BJ4" s="72" t="s">
        <v>546</v>
      </c>
      <c r="BK4" s="72" t="s">
        <v>470</v>
      </c>
      <c r="BQ4" s="72" t="s">
        <v>226</v>
      </c>
      <c r="BR4" s="72" t="s">
        <v>546</v>
      </c>
      <c r="BS4" s="72" t="s">
        <v>588</v>
      </c>
      <c r="BT4" s="72">
        <v>1</v>
      </c>
    </row>
    <row r="5" spans="1:72" x14ac:dyDescent="0.4">
      <c r="A5" s="72" t="s">
        <v>555</v>
      </c>
      <c r="B5" s="72" t="s">
        <v>546</v>
      </c>
      <c r="C5" s="72" t="s">
        <v>350</v>
      </c>
      <c r="D5" s="72">
        <v>4</v>
      </c>
      <c r="E5" s="72"/>
      <c r="F5" s="72" t="s">
        <v>221</v>
      </c>
      <c r="G5" s="72" t="s">
        <v>142</v>
      </c>
      <c r="H5" s="72">
        <v>1</v>
      </c>
      <c r="I5" s="72" t="s">
        <v>546</v>
      </c>
      <c r="J5" s="72" t="s">
        <v>363</v>
      </c>
      <c r="L5" s="72" t="s">
        <v>393</v>
      </c>
      <c r="M5" s="72" t="s">
        <v>430</v>
      </c>
      <c r="N5" s="72">
        <v>1</v>
      </c>
      <c r="O5" s="72" t="s">
        <v>546</v>
      </c>
      <c r="P5" s="72" t="s">
        <v>369</v>
      </c>
      <c r="Q5" s="72"/>
      <c r="R5" s="72" t="s">
        <v>142</v>
      </c>
      <c r="S5" s="73">
        <v>5000</v>
      </c>
      <c r="T5" s="72" t="s">
        <v>546</v>
      </c>
      <c r="U5" s="72" t="s">
        <v>351</v>
      </c>
      <c r="V5" s="72"/>
      <c r="W5" s="72" t="s">
        <v>159</v>
      </c>
      <c r="X5" s="72" t="s">
        <v>546</v>
      </c>
      <c r="Y5" s="72" t="s">
        <v>352</v>
      </c>
      <c r="Z5" s="72">
        <v>1</v>
      </c>
      <c r="AA5" s="72"/>
      <c r="AG5" s="72" t="s">
        <v>95</v>
      </c>
      <c r="AH5" s="72" t="s">
        <v>546</v>
      </c>
      <c r="AI5" s="72" t="s">
        <v>502</v>
      </c>
      <c r="AK5" s="72" t="s">
        <v>549</v>
      </c>
      <c r="AL5" s="72" t="s">
        <v>546</v>
      </c>
      <c r="AM5" s="72" t="s">
        <v>529</v>
      </c>
      <c r="AO5" s="72" t="s">
        <v>537</v>
      </c>
      <c r="AP5" s="72" t="s">
        <v>546</v>
      </c>
      <c r="AQ5" s="72" t="s">
        <v>528</v>
      </c>
      <c r="AS5" s="72" t="s">
        <v>293</v>
      </c>
      <c r="AT5" s="72" t="s">
        <v>546</v>
      </c>
      <c r="AU5" s="72" t="s">
        <v>460</v>
      </c>
      <c r="AW5" s="72" t="s">
        <v>535</v>
      </c>
      <c r="AX5" s="72" t="s">
        <v>546</v>
      </c>
      <c r="AY5" s="72" t="s">
        <v>464</v>
      </c>
      <c r="BA5" s="72" t="s">
        <v>468</v>
      </c>
      <c r="BB5" s="72" t="s">
        <v>546</v>
      </c>
      <c r="BC5" s="72" t="s">
        <v>466</v>
      </c>
      <c r="BE5" s="72" t="s">
        <v>468</v>
      </c>
      <c r="BF5" s="72" t="s">
        <v>546</v>
      </c>
      <c r="BG5" s="72" t="s">
        <v>531</v>
      </c>
      <c r="BI5" s="72" t="s">
        <v>473</v>
      </c>
      <c r="BJ5" s="72" t="s">
        <v>546</v>
      </c>
      <c r="BK5" s="72" t="s">
        <v>470</v>
      </c>
      <c r="BQ5" s="72" t="s">
        <v>443</v>
      </c>
      <c r="BR5" s="72" t="s">
        <v>546</v>
      </c>
      <c r="BS5" s="72" t="s">
        <v>588</v>
      </c>
      <c r="BT5" s="72">
        <v>1</v>
      </c>
    </row>
    <row r="6" spans="1:72" x14ac:dyDescent="0.4">
      <c r="A6" s="72" t="s">
        <v>262</v>
      </c>
      <c r="B6" s="72" t="s">
        <v>546</v>
      </c>
      <c r="C6" s="72" t="s">
        <v>350</v>
      </c>
      <c r="D6" s="72">
        <v>5</v>
      </c>
      <c r="E6" s="72"/>
      <c r="F6" s="72" t="s">
        <v>663</v>
      </c>
      <c r="G6" s="72" t="s">
        <v>146</v>
      </c>
      <c r="H6" s="72">
        <v>1</v>
      </c>
      <c r="I6" s="72" t="s">
        <v>546</v>
      </c>
      <c r="J6" s="72" t="s">
        <v>363</v>
      </c>
      <c r="L6" s="72" t="s">
        <v>657</v>
      </c>
      <c r="M6" s="72" t="s">
        <v>428</v>
      </c>
      <c r="N6" s="72">
        <v>1</v>
      </c>
      <c r="O6" s="72" t="s">
        <v>546</v>
      </c>
      <c r="P6" s="72" t="s">
        <v>369</v>
      </c>
      <c r="Q6" s="72"/>
      <c r="R6" s="72" t="s">
        <v>144</v>
      </c>
      <c r="S6" s="73">
        <v>4100</v>
      </c>
      <c r="T6" s="72" t="s">
        <v>546</v>
      </c>
      <c r="U6" s="72" t="s">
        <v>351</v>
      </c>
      <c r="V6" s="72"/>
      <c r="W6" s="72" t="s">
        <v>184</v>
      </c>
      <c r="X6" s="72" t="s">
        <v>546</v>
      </c>
      <c r="Y6" s="72" t="s">
        <v>352</v>
      </c>
      <c r="Z6" s="72">
        <v>1</v>
      </c>
      <c r="AA6" s="72"/>
      <c r="AG6" s="72" t="s">
        <v>96</v>
      </c>
      <c r="AH6" s="72" t="s">
        <v>546</v>
      </c>
      <c r="AI6" s="72" t="s">
        <v>502</v>
      </c>
      <c r="AK6" s="72" t="s">
        <v>164</v>
      </c>
      <c r="AL6" s="72" t="s">
        <v>546</v>
      </c>
      <c r="AM6" s="72" t="s">
        <v>529</v>
      </c>
      <c r="AO6" s="72" t="s">
        <v>291</v>
      </c>
      <c r="AP6" s="72" t="s">
        <v>546</v>
      </c>
      <c r="AQ6" s="72" t="s">
        <v>528</v>
      </c>
      <c r="AS6" s="72" t="s">
        <v>462</v>
      </c>
      <c r="AT6" s="72" t="s">
        <v>546</v>
      </c>
      <c r="AU6" s="72" t="s">
        <v>460</v>
      </c>
      <c r="AW6" s="72" t="s">
        <v>295</v>
      </c>
      <c r="AX6" s="72" t="s">
        <v>546</v>
      </c>
      <c r="AY6" s="72" t="s">
        <v>464</v>
      </c>
      <c r="BA6" s="72" t="s">
        <v>187</v>
      </c>
      <c r="BB6" s="72" t="s">
        <v>546</v>
      </c>
      <c r="BC6" s="72" t="s">
        <v>466</v>
      </c>
      <c r="BE6" s="72" t="s">
        <v>534</v>
      </c>
      <c r="BF6" s="72" t="s">
        <v>546</v>
      </c>
      <c r="BG6" s="72" t="s">
        <v>531</v>
      </c>
      <c r="BI6" s="72" t="s">
        <v>299</v>
      </c>
      <c r="BJ6" s="72" t="s">
        <v>546</v>
      </c>
      <c r="BK6" s="72" t="s">
        <v>470</v>
      </c>
      <c r="BQ6" s="72" t="s">
        <v>633</v>
      </c>
      <c r="BR6" s="72" t="s">
        <v>546</v>
      </c>
      <c r="BS6" s="72" t="s">
        <v>588</v>
      </c>
      <c r="BT6" s="72">
        <v>1</v>
      </c>
    </row>
    <row r="7" spans="1:72" x14ac:dyDescent="0.4">
      <c r="A7" s="72" t="s">
        <v>556</v>
      </c>
      <c r="B7" s="72" t="s">
        <v>546</v>
      </c>
      <c r="C7" s="72" t="s">
        <v>350</v>
      </c>
      <c r="D7" s="72">
        <v>6</v>
      </c>
      <c r="E7" s="72"/>
      <c r="F7" s="72" t="s">
        <v>664</v>
      </c>
      <c r="G7" s="72" t="s">
        <v>148</v>
      </c>
      <c r="H7" s="72">
        <v>1</v>
      </c>
      <c r="I7" s="72" t="s">
        <v>546</v>
      </c>
      <c r="J7" s="72" t="s">
        <v>363</v>
      </c>
      <c r="L7" s="72" t="s">
        <v>322</v>
      </c>
      <c r="M7" s="72" t="s">
        <v>429</v>
      </c>
      <c r="N7" s="72">
        <v>1</v>
      </c>
      <c r="O7" s="72" t="s">
        <v>546</v>
      </c>
      <c r="P7" s="72" t="s">
        <v>369</v>
      </c>
      <c r="Q7" s="72"/>
      <c r="R7" s="72" t="s">
        <v>154</v>
      </c>
      <c r="S7" s="73">
        <v>5000</v>
      </c>
      <c r="T7" s="72" t="s">
        <v>546</v>
      </c>
      <c r="U7" s="72" t="s">
        <v>351</v>
      </c>
      <c r="V7" s="72"/>
      <c r="W7" s="72" t="s">
        <v>38</v>
      </c>
      <c r="X7" s="72" t="s">
        <v>546</v>
      </c>
      <c r="Y7" s="72" t="s">
        <v>352</v>
      </c>
      <c r="Z7" s="72">
        <v>1</v>
      </c>
      <c r="AA7" s="72"/>
      <c r="AG7" s="72" t="s">
        <v>97</v>
      </c>
      <c r="AH7" s="72" t="s">
        <v>546</v>
      </c>
      <c r="AI7" s="72" t="s">
        <v>502</v>
      </c>
      <c r="AK7" s="72" t="s">
        <v>550</v>
      </c>
      <c r="AL7" s="72" t="s">
        <v>546</v>
      </c>
      <c r="AM7" s="72" t="s">
        <v>529</v>
      </c>
      <c r="AO7" s="72" t="s">
        <v>161</v>
      </c>
      <c r="AP7" s="72" t="s">
        <v>546</v>
      </c>
      <c r="AQ7" s="72" t="s">
        <v>528</v>
      </c>
      <c r="AW7" s="72" t="s">
        <v>538</v>
      </c>
      <c r="AX7" s="72" t="s">
        <v>546</v>
      </c>
      <c r="AY7" s="72" t="s">
        <v>464</v>
      </c>
      <c r="BA7" s="72" t="s">
        <v>303</v>
      </c>
      <c r="BB7" s="72" t="s">
        <v>546</v>
      </c>
      <c r="BC7" s="72" t="s">
        <v>466</v>
      </c>
      <c r="BE7" s="72" t="s">
        <v>535</v>
      </c>
      <c r="BF7" s="72" t="s">
        <v>546</v>
      </c>
      <c r="BG7" s="72" t="s">
        <v>531</v>
      </c>
      <c r="BI7" s="72" t="s">
        <v>300</v>
      </c>
      <c r="BJ7" s="72" t="s">
        <v>546</v>
      </c>
      <c r="BK7" s="72" t="s">
        <v>470</v>
      </c>
      <c r="BQ7" s="72" t="s">
        <v>557</v>
      </c>
      <c r="BR7" s="72" t="s">
        <v>546</v>
      </c>
      <c r="BS7" s="72" t="s">
        <v>588</v>
      </c>
      <c r="BT7" s="72">
        <v>1</v>
      </c>
    </row>
    <row r="8" spans="1:72" x14ac:dyDescent="0.4">
      <c r="A8" s="72" t="s">
        <v>228</v>
      </c>
      <c r="B8" s="72" t="s">
        <v>546</v>
      </c>
      <c r="C8" s="72" t="s">
        <v>350</v>
      </c>
      <c r="D8" s="72">
        <v>7</v>
      </c>
      <c r="E8" s="72"/>
      <c r="F8" s="72" t="s">
        <v>253</v>
      </c>
      <c r="G8" s="72" t="s">
        <v>154</v>
      </c>
      <c r="H8" s="72">
        <v>1</v>
      </c>
      <c r="I8" s="72" t="s">
        <v>546</v>
      </c>
      <c r="J8" s="72" t="s">
        <v>363</v>
      </c>
      <c r="L8" s="72" t="s">
        <v>648</v>
      </c>
      <c r="M8" s="72" t="s">
        <v>420</v>
      </c>
      <c r="N8" s="72">
        <v>1</v>
      </c>
      <c r="O8" s="72" t="s">
        <v>546</v>
      </c>
      <c r="P8" s="72" t="s">
        <v>369</v>
      </c>
      <c r="Q8" s="72"/>
      <c r="R8" s="72" t="s">
        <v>190</v>
      </c>
      <c r="S8" s="73">
        <v>5250</v>
      </c>
      <c r="T8" s="72" t="s">
        <v>546</v>
      </c>
      <c r="U8" s="72" t="s">
        <v>351</v>
      </c>
      <c r="V8" s="72"/>
      <c r="W8" s="72" t="s">
        <v>454</v>
      </c>
      <c r="X8" s="72" t="s">
        <v>546</v>
      </c>
      <c r="Y8" s="72" t="s">
        <v>352</v>
      </c>
      <c r="Z8" s="72">
        <v>1</v>
      </c>
      <c r="AA8" s="72"/>
      <c r="AG8" s="72" t="s">
        <v>98</v>
      </c>
      <c r="AH8" s="72" t="s">
        <v>546</v>
      </c>
      <c r="AI8" s="72" t="s">
        <v>502</v>
      </c>
      <c r="AK8" s="72" t="s">
        <v>192</v>
      </c>
      <c r="AL8" s="72" t="s">
        <v>546</v>
      </c>
      <c r="AM8" s="72" t="s">
        <v>529</v>
      </c>
      <c r="AW8" s="72" t="s">
        <v>539</v>
      </c>
      <c r="AX8" s="72" t="s">
        <v>546</v>
      </c>
      <c r="AY8" s="72" t="s">
        <v>464</v>
      </c>
      <c r="BE8" s="72" t="s">
        <v>536</v>
      </c>
      <c r="BF8" s="72" t="s">
        <v>546</v>
      </c>
      <c r="BG8" s="72" t="s">
        <v>531</v>
      </c>
      <c r="BI8" s="72" t="s">
        <v>298</v>
      </c>
      <c r="BJ8" s="72" t="s">
        <v>546</v>
      </c>
      <c r="BK8" s="72" t="s">
        <v>470</v>
      </c>
      <c r="BQ8" s="72" t="s">
        <v>275</v>
      </c>
      <c r="BR8" s="72" t="s">
        <v>546</v>
      </c>
      <c r="BS8" s="72" t="s">
        <v>588</v>
      </c>
      <c r="BT8" s="72">
        <v>1</v>
      </c>
    </row>
    <row r="9" spans="1:72" x14ac:dyDescent="0.4">
      <c r="A9" s="72" t="s">
        <v>263</v>
      </c>
      <c r="B9" s="72" t="s">
        <v>546</v>
      </c>
      <c r="C9" s="72" t="s">
        <v>350</v>
      </c>
      <c r="D9" s="72">
        <v>8</v>
      </c>
      <c r="E9" s="72"/>
      <c r="F9" s="72" t="s">
        <v>222</v>
      </c>
      <c r="G9" s="72" t="s">
        <v>148</v>
      </c>
      <c r="H9" s="72">
        <v>1</v>
      </c>
      <c r="I9" s="72" t="s">
        <v>546</v>
      </c>
      <c r="J9" s="72" t="s">
        <v>363</v>
      </c>
      <c r="L9" s="72" t="s">
        <v>658</v>
      </c>
      <c r="M9" s="72" t="s">
        <v>429</v>
      </c>
      <c r="N9" s="72">
        <v>1</v>
      </c>
      <c r="O9" s="72" t="s">
        <v>546</v>
      </c>
      <c r="P9" s="72" t="s">
        <v>369</v>
      </c>
      <c r="Q9" s="72"/>
      <c r="R9" s="72" t="s">
        <v>219</v>
      </c>
      <c r="S9" s="73">
        <v>400</v>
      </c>
      <c r="T9" s="72" t="s">
        <v>546</v>
      </c>
      <c r="U9" s="72" t="s">
        <v>351</v>
      </c>
      <c r="V9" s="72"/>
      <c r="W9" s="72" t="s">
        <v>157</v>
      </c>
      <c r="X9" s="72" t="s">
        <v>546</v>
      </c>
      <c r="Y9" s="72" t="s">
        <v>352</v>
      </c>
      <c r="Z9" s="72">
        <v>2</v>
      </c>
      <c r="AA9" s="72"/>
      <c r="AG9" s="72" t="s">
        <v>99</v>
      </c>
      <c r="AH9" s="72" t="s">
        <v>546</v>
      </c>
      <c r="AI9" s="72" t="s">
        <v>502</v>
      </c>
      <c r="AK9" s="72" t="s">
        <v>161</v>
      </c>
      <c r="AL9" s="72" t="s">
        <v>546</v>
      </c>
      <c r="AM9" s="72" t="s">
        <v>529</v>
      </c>
      <c r="AW9" s="72" t="s">
        <v>188</v>
      </c>
      <c r="AX9" s="72" t="s">
        <v>546</v>
      </c>
      <c r="AY9" s="72" t="s">
        <v>464</v>
      </c>
      <c r="BE9" s="72" t="s">
        <v>537</v>
      </c>
      <c r="BF9" s="72" t="s">
        <v>546</v>
      </c>
      <c r="BG9" s="72" t="s">
        <v>531</v>
      </c>
      <c r="BQ9" s="72" t="s">
        <v>231</v>
      </c>
      <c r="BR9" s="72" t="s">
        <v>546</v>
      </c>
      <c r="BS9" s="72" t="s">
        <v>588</v>
      </c>
      <c r="BT9" s="72">
        <v>1</v>
      </c>
    </row>
    <row r="10" spans="1:72" x14ac:dyDescent="0.4">
      <c r="A10" s="72" t="s">
        <v>255</v>
      </c>
      <c r="B10" s="72" t="s">
        <v>546</v>
      </c>
      <c r="C10" s="72" t="s">
        <v>350</v>
      </c>
      <c r="D10" s="72">
        <v>9</v>
      </c>
      <c r="E10" s="72"/>
      <c r="F10" s="72" t="s">
        <v>555</v>
      </c>
      <c r="G10" s="72" t="s">
        <v>154</v>
      </c>
      <c r="H10" s="72">
        <v>1</v>
      </c>
      <c r="I10" s="72" t="s">
        <v>546</v>
      </c>
      <c r="J10" s="72" t="s">
        <v>363</v>
      </c>
      <c r="L10" s="72" t="s">
        <v>406</v>
      </c>
      <c r="M10" s="72" t="s">
        <v>431</v>
      </c>
      <c r="N10" s="72">
        <v>1</v>
      </c>
      <c r="O10" s="72" t="s">
        <v>546</v>
      </c>
      <c r="P10" s="72" t="s">
        <v>369</v>
      </c>
      <c r="Q10" s="72"/>
      <c r="R10" s="72" t="s">
        <v>152</v>
      </c>
      <c r="S10" s="73">
        <v>2200</v>
      </c>
      <c r="T10" s="72" t="s">
        <v>546</v>
      </c>
      <c r="U10" s="72" t="s">
        <v>351</v>
      </c>
      <c r="V10" s="72"/>
      <c r="W10" s="72" t="s">
        <v>635</v>
      </c>
      <c r="X10" s="72" t="s">
        <v>546</v>
      </c>
      <c r="Y10" s="72" t="s">
        <v>352</v>
      </c>
      <c r="Z10" s="72">
        <v>2</v>
      </c>
      <c r="AA10" s="72"/>
      <c r="AG10" s="72" t="s">
        <v>100</v>
      </c>
      <c r="AH10" s="72" t="s">
        <v>546</v>
      </c>
      <c r="AI10" s="72" t="s">
        <v>502</v>
      </c>
      <c r="AK10" s="72" t="s">
        <v>285</v>
      </c>
      <c r="AL10" s="72" t="s">
        <v>546</v>
      </c>
      <c r="AM10" s="72" t="s">
        <v>529</v>
      </c>
      <c r="AW10" s="72" t="s">
        <v>296</v>
      </c>
      <c r="AX10" s="72" t="s">
        <v>546</v>
      </c>
      <c r="AY10" s="72" t="s">
        <v>464</v>
      </c>
      <c r="BE10" s="72" t="s">
        <v>538</v>
      </c>
      <c r="BF10" s="72" t="s">
        <v>546</v>
      </c>
      <c r="BG10" s="72" t="s">
        <v>531</v>
      </c>
      <c r="BQ10" s="72" t="s">
        <v>403</v>
      </c>
      <c r="BR10" s="72" t="s">
        <v>546</v>
      </c>
      <c r="BS10" s="72" t="s">
        <v>588</v>
      </c>
      <c r="BT10" s="72">
        <v>1</v>
      </c>
    </row>
    <row r="11" spans="1:72" x14ac:dyDescent="0.4">
      <c r="A11" s="72" t="s">
        <v>256</v>
      </c>
      <c r="B11" s="72" t="s">
        <v>546</v>
      </c>
      <c r="C11" s="72" t="s">
        <v>350</v>
      </c>
      <c r="D11" s="72">
        <v>10</v>
      </c>
      <c r="E11" s="72"/>
      <c r="F11" s="72" t="s">
        <v>665</v>
      </c>
      <c r="G11" s="72" t="s">
        <v>146</v>
      </c>
      <c r="H11" s="72">
        <v>1</v>
      </c>
      <c r="I11" s="72" t="s">
        <v>546</v>
      </c>
      <c r="J11" s="72" t="s">
        <v>363</v>
      </c>
      <c r="L11" s="72" t="s">
        <v>227</v>
      </c>
      <c r="M11" s="72" t="s">
        <v>565</v>
      </c>
      <c r="N11" s="72">
        <v>1</v>
      </c>
      <c r="O11" s="72" t="s">
        <v>546</v>
      </c>
      <c r="P11" s="72" t="s">
        <v>369</v>
      </c>
      <c r="Q11" s="72"/>
      <c r="R11" s="72" t="s">
        <v>148</v>
      </c>
      <c r="S11" s="73">
        <v>3100</v>
      </c>
      <c r="T11" s="72" t="s">
        <v>546</v>
      </c>
      <c r="U11" s="72" t="s">
        <v>351</v>
      </c>
      <c r="V11" s="72"/>
      <c r="W11" s="72" t="s">
        <v>498</v>
      </c>
      <c r="X11" s="72" t="s">
        <v>546</v>
      </c>
      <c r="Y11" s="72" t="s">
        <v>352</v>
      </c>
      <c r="Z11" s="72">
        <v>2</v>
      </c>
      <c r="AA11" s="72"/>
      <c r="AG11" s="72" t="s">
        <v>101</v>
      </c>
      <c r="AH11" s="72" t="s">
        <v>546</v>
      </c>
      <c r="AI11" s="72" t="s">
        <v>502</v>
      </c>
      <c r="AK11" s="72" t="s">
        <v>284</v>
      </c>
      <c r="AL11" s="72" t="s">
        <v>546</v>
      </c>
      <c r="AM11" s="72" t="s">
        <v>529</v>
      </c>
      <c r="AW11" s="72" t="s">
        <v>294</v>
      </c>
      <c r="AX11" s="72" t="s">
        <v>546</v>
      </c>
      <c r="AY11" s="72" t="s">
        <v>464</v>
      </c>
      <c r="BE11" s="72" t="s">
        <v>539</v>
      </c>
      <c r="BF11" s="72" t="s">
        <v>546</v>
      </c>
      <c r="BG11" s="72" t="s">
        <v>531</v>
      </c>
      <c r="BQ11" s="72" t="s">
        <v>381</v>
      </c>
      <c r="BR11" s="72" t="s">
        <v>546</v>
      </c>
      <c r="BS11" s="72" t="s">
        <v>588</v>
      </c>
      <c r="BT11" s="72">
        <v>1</v>
      </c>
    </row>
    <row r="12" spans="1:72" x14ac:dyDescent="0.4">
      <c r="A12" s="72" t="s">
        <v>229</v>
      </c>
      <c r="B12" s="72" t="s">
        <v>546</v>
      </c>
      <c r="C12" s="72" t="s">
        <v>350</v>
      </c>
      <c r="D12" s="72">
        <v>11</v>
      </c>
      <c r="E12" s="72"/>
      <c r="F12" s="72" t="s">
        <v>223</v>
      </c>
      <c r="G12" s="72" t="s">
        <v>145</v>
      </c>
      <c r="H12" s="72">
        <v>1</v>
      </c>
      <c r="I12" s="72" t="s">
        <v>546</v>
      </c>
      <c r="J12" s="72" t="s">
        <v>363</v>
      </c>
      <c r="L12" s="72" t="s">
        <v>398</v>
      </c>
      <c r="M12" s="72" t="s">
        <v>429</v>
      </c>
      <c r="N12" s="72">
        <v>1</v>
      </c>
      <c r="O12" s="72" t="s">
        <v>546</v>
      </c>
      <c r="P12" s="72" t="s">
        <v>369</v>
      </c>
      <c r="Q12" s="72"/>
      <c r="R12" s="72" t="s">
        <v>149</v>
      </c>
      <c r="S12" s="73">
        <v>3400</v>
      </c>
      <c r="T12" s="72" t="s">
        <v>546</v>
      </c>
      <c r="U12" s="72" t="s">
        <v>351</v>
      </c>
      <c r="V12" s="72"/>
      <c r="W12" s="72" t="s">
        <v>636</v>
      </c>
      <c r="X12" s="72" t="s">
        <v>546</v>
      </c>
      <c r="Y12" s="72" t="s">
        <v>352</v>
      </c>
      <c r="Z12" s="72">
        <v>2</v>
      </c>
      <c r="AA12" s="72"/>
      <c r="AG12" s="72" t="s">
        <v>102</v>
      </c>
      <c r="AH12" s="72" t="s">
        <v>546</v>
      </c>
      <c r="AI12" s="72" t="s">
        <v>502</v>
      </c>
      <c r="AK12" s="72" t="s">
        <v>286</v>
      </c>
      <c r="AL12" s="72" t="s">
        <v>546</v>
      </c>
      <c r="AM12" s="72" t="s">
        <v>529</v>
      </c>
      <c r="BQ12" s="72" t="s">
        <v>320</v>
      </c>
      <c r="BR12" s="72" t="s">
        <v>546</v>
      </c>
      <c r="BS12" s="72" t="s">
        <v>588</v>
      </c>
      <c r="BT12" s="72">
        <v>1</v>
      </c>
    </row>
    <row r="13" spans="1:72" x14ac:dyDescent="0.4">
      <c r="A13" s="72" t="s">
        <v>230</v>
      </c>
      <c r="B13" s="72" t="s">
        <v>546</v>
      </c>
      <c r="C13" s="72" t="s">
        <v>350</v>
      </c>
      <c r="D13" s="72">
        <v>12</v>
      </c>
      <c r="E13" s="72"/>
      <c r="F13" s="72" t="s">
        <v>318</v>
      </c>
      <c r="G13" s="72" t="s">
        <v>150</v>
      </c>
      <c r="H13" s="72">
        <v>1</v>
      </c>
      <c r="I13" s="72" t="s">
        <v>546</v>
      </c>
      <c r="J13" s="72" t="s">
        <v>363</v>
      </c>
      <c r="L13" s="72" t="s">
        <v>645</v>
      </c>
      <c r="M13" s="72" t="s">
        <v>428</v>
      </c>
      <c r="N13" s="72">
        <v>1</v>
      </c>
      <c r="O13" s="72" t="s">
        <v>546</v>
      </c>
      <c r="P13" s="72" t="s">
        <v>369</v>
      </c>
      <c r="Q13" s="72"/>
      <c r="R13" s="72" t="s">
        <v>150</v>
      </c>
      <c r="S13" s="73">
        <v>4450</v>
      </c>
      <c r="T13" s="72" t="s">
        <v>546</v>
      </c>
      <c r="U13" s="72" t="s">
        <v>351</v>
      </c>
      <c r="V13" s="72"/>
      <c r="W13" s="72" t="s">
        <v>194</v>
      </c>
      <c r="X13" s="72" t="s">
        <v>546</v>
      </c>
      <c r="Y13" s="72" t="s">
        <v>352</v>
      </c>
      <c r="Z13" s="72">
        <v>2</v>
      </c>
      <c r="AA13" s="72"/>
      <c r="AG13" s="72" t="s">
        <v>105</v>
      </c>
      <c r="AH13" s="72" t="s">
        <v>546</v>
      </c>
      <c r="AI13" s="72" t="s">
        <v>502</v>
      </c>
      <c r="AK13" s="72" t="s">
        <v>287</v>
      </c>
      <c r="AL13" s="72" t="s">
        <v>546</v>
      </c>
      <c r="AM13" s="72" t="s">
        <v>529</v>
      </c>
      <c r="BQ13" s="72" t="s">
        <v>233</v>
      </c>
      <c r="BR13" s="72" t="s">
        <v>546</v>
      </c>
      <c r="BS13" s="72" t="s">
        <v>588</v>
      </c>
      <c r="BT13" s="72">
        <v>1</v>
      </c>
    </row>
    <row r="14" spans="1:72" x14ac:dyDescent="0.4">
      <c r="A14" s="72" t="s">
        <v>486</v>
      </c>
      <c r="B14" s="72" t="s">
        <v>546</v>
      </c>
      <c r="C14" s="72" t="s">
        <v>350</v>
      </c>
      <c r="D14" s="72">
        <v>13</v>
      </c>
      <c r="E14" s="72"/>
      <c r="F14" s="72" t="s">
        <v>224</v>
      </c>
      <c r="G14" s="72" t="s">
        <v>151</v>
      </c>
      <c r="H14" s="72">
        <v>1</v>
      </c>
      <c r="I14" s="72" t="s">
        <v>546</v>
      </c>
      <c r="J14" s="72" t="s">
        <v>363</v>
      </c>
      <c r="L14" s="72" t="s">
        <v>407</v>
      </c>
      <c r="M14" s="72" t="s">
        <v>431</v>
      </c>
      <c r="N14" s="72">
        <v>1</v>
      </c>
      <c r="O14" s="72" t="s">
        <v>546</v>
      </c>
      <c r="P14" s="72" t="s">
        <v>369</v>
      </c>
      <c r="Q14" s="72"/>
      <c r="R14" s="72" t="s">
        <v>151</v>
      </c>
      <c r="S14" s="73">
        <v>4750</v>
      </c>
      <c r="T14" s="72" t="s">
        <v>546</v>
      </c>
      <c r="U14" s="72" t="s">
        <v>351</v>
      </c>
      <c r="V14" s="72"/>
      <c r="W14" s="72" t="s">
        <v>189</v>
      </c>
      <c r="X14" s="72" t="s">
        <v>546</v>
      </c>
      <c r="Y14" s="72" t="s">
        <v>352</v>
      </c>
      <c r="Z14" s="72">
        <v>2</v>
      </c>
      <c r="AA14" s="72"/>
      <c r="AG14" s="72" t="s">
        <v>104</v>
      </c>
      <c r="AH14" s="72" t="s">
        <v>546</v>
      </c>
      <c r="AI14" s="72" t="s">
        <v>502</v>
      </c>
      <c r="AK14" s="72" t="s">
        <v>191</v>
      </c>
      <c r="AL14" s="72" t="s">
        <v>546</v>
      </c>
      <c r="AM14" s="72" t="s">
        <v>529</v>
      </c>
      <c r="BQ14" s="72" t="s">
        <v>576</v>
      </c>
      <c r="BR14" s="72" t="s">
        <v>546</v>
      </c>
      <c r="BS14" s="72" t="s">
        <v>588</v>
      </c>
      <c r="BT14" s="72">
        <v>1</v>
      </c>
    </row>
    <row r="15" spans="1:72" x14ac:dyDescent="0.4">
      <c r="A15" s="72" t="s">
        <v>375</v>
      </c>
      <c r="B15" s="72" t="s">
        <v>546</v>
      </c>
      <c r="C15" s="72" t="s">
        <v>350</v>
      </c>
      <c r="D15" s="72">
        <v>14</v>
      </c>
      <c r="E15" s="72"/>
      <c r="F15" s="72" t="s">
        <v>650</v>
      </c>
      <c r="G15" s="72" t="s">
        <v>148</v>
      </c>
      <c r="H15" s="72">
        <v>1</v>
      </c>
      <c r="I15" s="72" t="s">
        <v>546</v>
      </c>
      <c r="J15" s="72" t="s">
        <v>363</v>
      </c>
      <c r="L15" s="72" t="s">
        <v>359</v>
      </c>
      <c r="M15" s="72" t="s">
        <v>359</v>
      </c>
      <c r="N15" s="72">
        <v>1</v>
      </c>
      <c r="O15" s="72" t="s">
        <v>546</v>
      </c>
      <c r="P15" s="72" t="s">
        <v>369</v>
      </c>
      <c r="Q15" s="72"/>
      <c r="R15" s="72" t="s">
        <v>193</v>
      </c>
      <c r="S15" s="73">
        <v>550</v>
      </c>
      <c r="T15" s="72" t="s">
        <v>546</v>
      </c>
      <c r="U15" s="72" t="s">
        <v>351</v>
      </c>
      <c r="V15" s="72"/>
      <c r="W15" s="72" t="s">
        <v>453</v>
      </c>
      <c r="X15" s="72" t="s">
        <v>546</v>
      </c>
      <c r="Y15" s="72" t="s">
        <v>352</v>
      </c>
      <c r="Z15" s="72">
        <v>2</v>
      </c>
      <c r="AA15" s="72"/>
      <c r="AG15" s="72" t="s">
        <v>103</v>
      </c>
      <c r="AH15" s="72" t="s">
        <v>546</v>
      </c>
      <c r="AI15" s="72" t="s">
        <v>502</v>
      </c>
      <c r="AK15" s="72" t="s">
        <v>185</v>
      </c>
      <c r="AL15" s="72" t="s">
        <v>546</v>
      </c>
      <c r="AM15" s="72" t="s">
        <v>529</v>
      </c>
      <c r="BQ15" s="72" t="s">
        <v>235</v>
      </c>
      <c r="BR15" s="72" t="s">
        <v>546</v>
      </c>
      <c r="BS15" s="72" t="s">
        <v>588</v>
      </c>
      <c r="BT15" s="72">
        <v>1</v>
      </c>
    </row>
    <row r="16" spans="1:72" x14ac:dyDescent="0.4">
      <c r="A16" s="72" t="s">
        <v>257</v>
      </c>
      <c r="B16" s="72" t="s">
        <v>546</v>
      </c>
      <c r="C16" s="72" t="s">
        <v>350</v>
      </c>
      <c r="D16" s="72">
        <v>15</v>
      </c>
      <c r="E16" s="72"/>
      <c r="F16" s="72" t="s">
        <v>666</v>
      </c>
      <c r="G16" s="72" t="s">
        <v>417</v>
      </c>
      <c r="H16" s="72">
        <v>1</v>
      </c>
      <c r="I16" s="72" t="s">
        <v>546</v>
      </c>
      <c r="J16" s="72" t="s">
        <v>363</v>
      </c>
      <c r="L16" s="72" t="s">
        <v>434</v>
      </c>
      <c r="M16" s="72" t="s">
        <v>429</v>
      </c>
      <c r="N16" s="72">
        <v>1</v>
      </c>
      <c r="O16" s="72" t="s">
        <v>546</v>
      </c>
      <c r="P16" s="72" t="s">
        <v>369</v>
      </c>
      <c r="Q16" s="72"/>
      <c r="R16" s="72" t="s">
        <v>359</v>
      </c>
      <c r="S16" s="73">
        <v>1500</v>
      </c>
      <c r="T16" s="72" t="s">
        <v>546</v>
      </c>
      <c r="U16" s="72" t="s">
        <v>351</v>
      </c>
      <c r="V16" s="72"/>
      <c r="W16" s="72" t="s">
        <v>499</v>
      </c>
      <c r="X16" s="72" t="s">
        <v>546</v>
      </c>
      <c r="Y16" s="72" t="s">
        <v>352</v>
      </c>
      <c r="Z16" s="72">
        <v>2</v>
      </c>
      <c r="AA16" s="72"/>
      <c r="AG16" s="72" t="s">
        <v>107</v>
      </c>
      <c r="AH16" s="72" t="s">
        <v>546</v>
      </c>
      <c r="AI16" s="72" t="s">
        <v>502</v>
      </c>
      <c r="AK16" s="72" t="s">
        <v>165</v>
      </c>
      <c r="AL16" s="72" t="s">
        <v>546</v>
      </c>
      <c r="AM16" s="72" t="s">
        <v>529</v>
      </c>
      <c r="BQ16" s="72" t="s">
        <v>236</v>
      </c>
      <c r="BR16" s="72" t="s">
        <v>546</v>
      </c>
      <c r="BS16" s="72" t="s">
        <v>588</v>
      </c>
      <c r="BT16" s="72">
        <v>1</v>
      </c>
    </row>
    <row r="17" spans="1:72" x14ac:dyDescent="0.4">
      <c r="A17" s="72" t="s">
        <v>379</v>
      </c>
      <c r="B17" s="72" t="s">
        <v>546</v>
      </c>
      <c r="C17" s="72" t="s">
        <v>350</v>
      </c>
      <c r="D17" s="72">
        <v>16</v>
      </c>
      <c r="E17" s="72"/>
      <c r="F17" s="72" t="s">
        <v>330</v>
      </c>
      <c r="G17" s="72" t="s">
        <v>149</v>
      </c>
      <c r="H17" s="72">
        <v>1</v>
      </c>
      <c r="I17" s="72" t="s">
        <v>546</v>
      </c>
      <c r="J17" s="72" t="s">
        <v>363</v>
      </c>
      <c r="L17" s="72" t="s">
        <v>659</v>
      </c>
      <c r="M17" s="72" t="s">
        <v>431</v>
      </c>
      <c r="N17" s="72">
        <v>1</v>
      </c>
      <c r="O17" s="72" t="s">
        <v>546</v>
      </c>
      <c r="P17" s="72" t="s">
        <v>369</v>
      </c>
      <c r="Q17" s="72"/>
      <c r="R17" s="72" t="s">
        <v>361</v>
      </c>
      <c r="S17" s="73">
        <v>1600</v>
      </c>
      <c r="T17" s="72" t="s">
        <v>546</v>
      </c>
      <c r="U17" s="72" t="s">
        <v>351</v>
      </c>
      <c r="V17" s="72"/>
      <c r="W17" s="72" t="s">
        <v>500</v>
      </c>
      <c r="X17" s="72" t="s">
        <v>546</v>
      </c>
      <c r="Y17" s="72" t="s">
        <v>352</v>
      </c>
      <c r="Z17" s="72">
        <v>2</v>
      </c>
      <c r="AA17" s="72"/>
      <c r="AG17" s="72" t="s">
        <v>106</v>
      </c>
      <c r="AH17" s="72" t="s">
        <v>546</v>
      </c>
      <c r="AI17" s="72" t="s">
        <v>502</v>
      </c>
      <c r="AK17" s="72" t="s">
        <v>551</v>
      </c>
      <c r="AL17" s="72" t="s">
        <v>546</v>
      </c>
      <c r="AM17" s="72" t="s">
        <v>529</v>
      </c>
      <c r="BQ17" s="72" t="s">
        <v>238</v>
      </c>
      <c r="BR17" s="72" t="s">
        <v>546</v>
      </c>
      <c r="BS17" s="72" t="s">
        <v>588</v>
      </c>
      <c r="BT17" s="72">
        <v>1</v>
      </c>
    </row>
    <row r="18" spans="1:72" x14ac:dyDescent="0.4">
      <c r="A18" s="72" t="s">
        <v>240</v>
      </c>
      <c r="B18" s="72" t="s">
        <v>546</v>
      </c>
      <c r="C18" s="72" t="s">
        <v>350</v>
      </c>
      <c r="D18" s="72">
        <v>17</v>
      </c>
      <c r="E18" s="72"/>
      <c r="F18" s="72" t="s">
        <v>679</v>
      </c>
      <c r="G18" s="72" t="s">
        <v>148</v>
      </c>
      <c r="H18" s="72">
        <v>1</v>
      </c>
      <c r="I18" s="72" t="s">
        <v>546</v>
      </c>
      <c r="J18" s="72" t="s">
        <v>363</v>
      </c>
      <c r="L18" s="72" t="s">
        <v>435</v>
      </c>
      <c r="M18" s="72" t="s">
        <v>429</v>
      </c>
      <c r="N18" s="72">
        <v>1</v>
      </c>
      <c r="O18" s="72" t="s">
        <v>546</v>
      </c>
      <c r="P18" s="72" t="s">
        <v>369</v>
      </c>
      <c r="Q18" s="72"/>
      <c r="R18" s="72" t="s">
        <v>396</v>
      </c>
      <c r="S18" s="73">
        <v>1900</v>
      </c>
      <c r="T18" s="72" t="s">
        <v>546</v>
      </c>
      <c r="U18" s="72" t="s">
        <v>351</v>
      </c>
      <c r="V18" s="72"/>
      <c r="W18" s="72" t="s">
        <v>564</v>
      </c>
      <c r="X18" s="72" t="s">
        <v>546</v>
      </c>
      <c r="Y18" s="72" t="s">
        <v>352</v>
      </c>
      <c r="Z18" s="72">
        <v>2</v>
      </c>
      <c r="AA18" s="72"/>
      <c r="AG18" s="72" t="s">
        <v>108</v>
      </c>
      <c r="AH18" s="72" t="s">
        <v>546</v>
      </c>
      <c r="AI18" s="72" t="s">
        <v>502</v>
      </c>
      <c r="BQ18" s="72" t="s">
        <v>384</v>
      </c>
      <c r="BR18" s="72" t="s">
        <v>546</v>
      </c>
      <c r="BS18" s="72" t="s">
        <v>588</v>
      </c>
      <c r="BT18" s="72">
        <v>1</v>
      </c>
    </row>
    <row r="19" spans="1:72" x14ac:dyDescent="0.4">
      <c r="A19" s="72" t="s">
        <v>258</v>
      </c>
      <c r="B19" s="72" t="s">
        <v>546</v>
      </c>
      <c r="C19" s="72" t="s">
        <v>350</v>
      </c>
      <c r="D19" s="72">
        <v>18</v>
      </c>
      <c r="E19" s="72"/>
      <c r="F19" s="72" t="s">
        <v>262</v>
      </c>
      <c r="G19" s="72" t="s">
        <v>190</v>
      </c>
      <c r="H19" s="72">
        <v>1</v>
      </c>
      <c r="I19" s="72" t="s">
        <v>546</v>
      </c>
      <c r="J19" s="72" t="s">
        <v>363</v>
      </c>
      <c r="L19" s="72" t="s">
        <v>676</v>
      </c>
      <c r="M19" s="72" t="s">
        <v>622</v>
      </c>
      <c r="N19" s="72">
        <v>1</v>
      </c>
      <c r="O19" s="72" t="s">
        <v>546</v>
      </c>
      <c r="P19" s="72" t="s">
        <v>369</v>
      </c>
      <c r="Q19" s="72"/>
      <c r="R19" s="72" t="s">
        <v>405</v>
      </c>
      <c r="S19" s="73">
        <v>3600</v>
      </c>
      <c r="T19" s="72" t="s">
        <v>546</v>
      </c>
      <c r="U19" s="72" t="s">
        <v>351</v>
      </c>
      <c r="V19" s="72"/>
      <c r="W19" s="72" t="s">
        <v>637</v>
      </c>
      <c r="X19" s="72" t="s">
        <v>546</v>
      </c>
      <c r="Y19" s="72" t="s">
        <v>352</v>
      </c>
      <c r="Z19" s="72">
        <v>2</v>
      </c>
      <c r="AA19" s="72"/>
      <c r="AG19" s="72" t="s">
        <v>109</v>
      </c>
      <c r="AH19" s="72" t="s">
        <v>546</v>
      </c>
      <c r="AI19" s="72" t="s">
        <v>502</v>
      </c>
      <c r="BQ19" s="72" t="s">
        <v>392</v>
      </c>
      <c r="BR19" s="72" t="s">
        <v>546</v>
      </c>
      <c r="BS19" s="72" t="s">
        <v>588</v>
      </c>
      <c r="BT19" s="72">
        <v>1</v>
      </c>
    </row>
    <row r="20" spans="1:72" x14ac:dyDescent="0.4">
      <c r="A20" s="72" t="s">
        <v>276</v>
      </c>
      <c r="B20" s="72" t="s">
        <v>546</v>
      </c>
      <c r="C20" s="72" t="s">
        <v>350</v>
      </c>
      <c r="D20" s="72">
        <v>19</v>
      </c>
      <c r="E20" s="72"/>
      <c r="F20" s="72" t="s">
        <v>254</v>
      </c>
      <c r="G20" s="72" t="s">
        <v>154</v>
      </c>
      <c r="H20" s="72">
        <v>1</v>
      </c>
      <c r="I20" s="72" t="s">
        <v>546</v>
      </c>
      <c r="J20" s="72" t="s">
        <v>363</v>
      </c>
      <c r="L20" s="72" t="s">
        <v>422</v>
      </c>
      <c r="M20" s="72" t="s">
        <v>429</v>
      </c>
      <c r="N20" s="72">
        <v>1</v>
      </c>
      <c r="O20" s="72" t="s">
        <v>546</v>
      </c>
      <c r="P20" s="72" t="s">
        <v>369</v>
      </c>
      <c r="Q20" s="72"/>
      <c r="R20" s="72" t="s">
        <v>414</v>
      </c>
      <c r="S20" s="73">
        <v>1600</v>
      </c>
      <c r="T20" s="72" t="s">
        <v>546</v>
      </c>
      <c r="U20" s="72" t="s">
        <v>351</v>
      </c>
      <c r="V20" s="72"/>
      <c r="W20" s="72" t="s">
        <v>638</v>
      </c>
      <c r="X20" s="72" t="s">
        <v>546</v>
      </c>
      <c r="Y20" s="72" t="s">
        <v>352</v>
      </c>
      <c r="Z20" s="72">
        <v>2</v>
      </c>
      <c r="AA20" s="72"/>
      <c r="AG20" s="72" t="s">
        <v>113</v>
      </c>
      <c r="AH20" s="72" t="s">
        <v>546</v>
      </c>
      <c r="AI20" s="72" t="s">
        <v>502</v>
      </c>
      <c r="BQ20" s="72" t="s">
        <v>282</v>
      </c>
      <c r="BR20" s="72" t="s">
        <v>546</v>
      </c>
      <c r="BS20" s="72" t="s">
        <v>588</v>
      </c>
      <c r="BT20" s="72">
        <v>1</v>
      </c>
    </row>
    <row r="21" spans="1:72" x14ac:dyDescent="0.4">
      <c r="A21" s="72" t="s">
        <v>245</v>
      </c>
      <c r="B21" s="72" t="s">
        <v>546</v>
      </c>
      <c r="C21" s="72" t="s">
        <v>350</v>
      </c>
      <c r="D21" s="72">
        <v>20</v>
      </c>
      <c r="E21" s="72"/>
      <c r="F21" s="72" t="s">
        <v>569</v>
      </c>
      <c r="G21" s="72" t="s">
        <v>416</v>
      </c>
      <c r="H21" s="72">
        <v>1</v>
      </c>
      <c r="I21" s="72" t="s">
        <v>546</v>
      </c>
      <c r="J21" s="72" t="s">
        <v>363</v>
      </c>
      <c r="L21" s="72" t="s">
        <v>436</v>
      </c>
      <c r="M21" s="72" t="s">
        <v>429</v>
      </c>
      <c r="N21" s="72">
        <v>1</v>
      </c>
      <c r="O21" s="72" t="s">
        <v>546</v>
      </c>
      <c r="P21" s="72" t="s">
        <v>369</v>
      </c>
      <c r="Q21" s="72"/>
      <c r="R21" s="72" t="s">
        <v>409</v>
      </c>
      <c r="S21" s="73">
        <v>1900</v>
      </c>
      <c r="T21" s="72" t="s">
        <v>546</v>
      </c>
      <c r="U21" s="72" t="s">
        <v>351</v>
      </c>
      <c r="V21" s="72"/>
      <c r="W21" s="72" t="s">
        <v>639</v>
      </c>
      <c r="X21" s="72" t="s">
        <v>546</v>
      </c>
      <c r="Y21" s="72" t="s">
        <v>352</v>
      </c>
      <c r="Z21" s="72">
        <v>2</v>
      </c>
      <c r="AA21" s="72"/>
      <c r="AG21" s="72" t="s">
        <v>112</v>
      </c>
      <c r="AH21" s="72" t="s">
        <v>546</v>
      </c>
      <c r="AI21" s="72" t="s">
        <v>502</v>
      </c>
      <c r="BQ21" s="72" t="s">
        <v>264</v>
      </c>
      <c r="BR21" s="72" t="s">
        <v>546</v>
      </c>
      <c r="BS21" s="72" t="s">
        <v>588</v>
      </c>
      <c r="BT21" s="72">
        <v>1</v>
      </c>
    </row>
    <row r="22" spans="1:72" x14ac:dyDescent="0.4">
      <c r="A22" s="72" t="s">
        <v>259</v>
      </c>
      <c r="B22" s="72" t="s">
        <v>546</v>
      </c>
      <c r="C22" s="72" t="s">
        <v>350</v>
      </c>
      <c r="D22" s="72">
        <v>21</v>
      </c>
      <c r="E22" s="72"/>
      <c r="F22" s="72" t="s">
        <v>421</v>
      </c>
      <c r="G22" s="72" t="s">
        <v>145</v>
      </c>
      <c r="H22" s="72">
        <v>1</v>
      </c>
      <c r="I22" s="72" t="s">
        <v>546</v>
      </c>
      <c r="J22" s="72" t="s">
        <v>363</v>
      </c>
      <c r="L22" s="72" t="s">
        <v>660</v>
      </c>
      <c r="M22" s="72" t="s">
        <v>428</v>
      </c>
      <c r="N22" s="72">
        <v>1</v>
      </c>
      <c r="O22" s="72" t="s">
        <v>546</v>
      </c>
      <c r="P22" s="72" t="s">
        <v>369</v>
      </c>
      <c r="Q22" s="72"/>
      <c r="R22" s="72" t="s">
        <v>408</v>
      </c>
      <c r="S22" s="73">
        <v>2200</v>
      </c>
      <c r="T22" s="72" t="s">
        <v>546</v>
      </c>
      <c r="U22" s="72" t="s">
        <v>351</v>
      </c>
      <c r="V22" s="72"/>
      <c r="W22" s="72" t="s">
        <v>640</v>
      </c>
      <c r="X22" s="72" t="s">
        <v>546</v>
      </c>
      <c r="Y22" s="72" t="s">
        <v>352</v>
      </c>
      <c r="Z22" s="72">
        <v>2</v>
      </c>
      <c r="AA22" s="72"/>
      <c r="AG22" s="72" t="s">
        <v>111</v>
      </c>
      <c r="AH22" s="72" t="s">
        <v>546</v>
      </c>
      <c r="AI22" s="72" t="s">
        <v>502</v>
      </c>
      <c r="BQ22" s="72" t="s">
        <v>241</v>
      </c>
      <c r="BR22" s="72" t="s">
        <v>546</v>
      </c>
      <c r="BS22" s="72" t="s">
        <v>588</v>
      </c>
      <c r="BT22" s="72">
        <v>1</v>
      </c>
    </row>
    <row r="23" spans="1:72" x14ac:dyDescent="0.4">
      <c r="A23" s="72" t="s">
        <v>246</v>
      </c>
      <c r="B23" s="72" t="s">
        <v>546</v>
      </c>
      <c r="C23" s="72" t="s">
        <v>350</v>
      </c>
      <c r="D23" s="72">
        <v>22</v>
      </c>
      <c r="E23" s="72"/>
      <c r="F23" s="72" t="s">
        <v>315</v>
      </c>
      <c r="G23" s="72" t="s">
        <v>148</v>
      </c>
      <c r="H23" s="72">
        <v>1</v>
      </c>
      <c r="I23" s="72" t="s">
        <v>546</v>
      </c>
      <c r="J23" s="72" t="s">
        <v>363</v>
      </c>
      <c r="L23" s="72" t="s">
        <v>674</v>
      </c>
      <c r="M23" s="72" t="s">
        <v>622</v>
      </c>
      <c r="N23" s="72">
        <v>1</v>
      </c>
      <c r="O23" s="72" t="s">
        <v>546</v>
      </c>
      <c r="P23" s="72" t="s">
        <v>369</v>
      </c>
      <c r="Q23" s="72"/>
      <c r="R23" s="72" t="s">
        <v>417</v>
      </c>
      <c r="S23" s="73">
        <v>2500</v>
      </c>
      <c r="T23" s="72" t="s">
        <v>546</v>
      </c>
      <c r="U23" s="72" t="s">
        <v>351</v>
      </c>
      <c r="V23" s="72"/>
      <c r="W23" s="72" t="s">
        <v>641</v>
      </c>
      <c r="X23" s="72" t="s">
        <v>546</v>
      </c>
      <c r="Y23" s="72" t="s">
        <v>352</v>
      </c>
      <c r="Z23" s="72">
        <v>2</v>
      </c>
      <c r="AA23" s="72"/>
      <c r="AG23" s="72" t="s">
        <v>138</v>
      </c>
      <c r="AH23" s="72" t="s">
        <v>546</v>
      </c>
      <c r="AI23" s="72" t="s">
        <v>502</v>
      </c>
      <c r="BQ23" s="72" t="s">
        <v>242</v>
      </c>
      <c r="BR23" s="72" t="s">
        <v>546</v>
      </c>
      <c r="BS23" s="72" t="s">
        <v>588</v>
      </c>
      <c r="BT23" s="72">
        <v>1</v>
      </c>
    </row>
    <row r="24" spans="1:72" x14ac:dyDescent="0.4">
      <c r="A24" s="72" t="s">
        <v>247</v>
      </c>
      <c r="B24" s="72" t="s">
        <v>546</v>
      </c>
      <c r="C24" s="72" t="s">
        <v>350</v>
      </c>
      <c r="D24" s="72">
        <v>23</v>
      </c>
      <c r="E24" s="72"/>
      <c r="F24" s="72" t="s">
        <v>225</v>
      </c>
      <c r="G24" s="72" t="s">
        <v>413</v>
      </c>
      <c r="H24" s="72">
        <v>1</v>
      </c>
      <c r="I24" s="72" t="s">
        <v>546</v>
      </c>
      <c r="J24" s="72" t="s">
        <v>363</v>
      </c>
      <c r="L24" s="72" t="s">
        <v>661</v>
      </c>
      <c r="M24" s="72" t="s">
        <v>437</v>
      </c>
      <c r="N24" s="72">
        <v>1</v>
      </c>
      <c r="O24" s="72" t="s">
        <v>546</v>
      </c>
      <c r="P24" s="72" t="s">
        <v>369</v>
      </c>
      <c r="Q24" s="72"/>
      <c r="R24" s="72" t="s">
        <v>415</v>
      </c>
      <c r="S24" s="73">
        <v>2800</v>
      </c>
      <c r="T24" s="72" t="s">
        <v>546</v>
      </c>
      <c r="U24" s="72" t="s">
        <v>351</v>
      </c>
      <c r="V24" s="72"/>
      <c r="W24" s="72"/>
      <c r="X24" s="72"/>
      <c r="Y24" s="72"/>
      <c r="Z24" s="72"/>
      <c r="AA24" s="72"/>
      <c r="AG24" s="72" t="s">
        <v>110</v>
      </c>
      <c r="AH24" s="72" t="s">
        <v>546</v>
      </c>
      <c r="AI24" s="72" t="s">
        <v>502</v>
      </c>
      <c r="BQ24" s="72" t="s">
        <v>447</v>
      </c>
      <c r="BR24" s="72" t="s">
        <v>546</v>
      </c>
      <c r="BS24" s="72" t="s">
        <v>588</v>
      </c>
      <c r="BT24" s="72">
        <v>1</v>
      </c>
    </row>
    <row r="25" spans="1:72" x14ac:dyDescent="0.4">
      <c r="A25" s="72" t="s">
        <v>260</v>
      </c>
      <c r="B25" s="72" t="s">
        <v>546</v>
      </c>
      <c r="C25" s="72" t="s">
        <v>350</v>
      </c>
      <c r="D25" s="72">
        <v>24</v>
      </c>
      <c r="F25" s="72" t="s">
        <v>442</v>
      </c>
      <c r="G25" s="72" t="s">
        <v>147</v>
      </c>
      <c r="H25" s="72">
        <v>1</v>
      </c>
      <c r="I25" s="72" t="s">
        <v>546</v>
      </c>
      <c r="J25" s="72" t="s">
        <v>363</v>
      </c>
      <c r="L25" s="72" t="s">
        <v>394</v>
      </c>
      <c r="M25" s="72" t="s">
        <v>429</v>
      </c>
      <c r="N25" s="72">
        <v>1</v>
      </c>
      <c r="O25" s="72" t="s">
        <v>546</v>
      </c>
      <c r="P25" s="72" t="s">
        <v>369</v>
      </c>
      <c r="Q25" s="72"/>
      <c r="R25" s="72" t="s">
        <v>418</v>
      </c>
      <c r="S25" s="73">
        <v>3100</v>
      </c>
      <c r="T25" s="72" t="s">
        <v>546</v>
      </c>
      <c r="U25" s="72" t="s">
        <v>351</v>
      </c>
      <c r="V25" s="72"/>
      <c r="W25" s="72"/>
      <c r="X25" s="72"/>
      <c r="Y25" s="72"/>
      <c r="Z25" s="72"/>
      <c r="AA25" s="72"/>
      <c r="AG25" s="72" t="s">
        <v>136</v>
      </c>
      <c r="AH25" s="72" t="s">
        <v>546</v>
      </c>
      <c r="AI25" s="72" t="s">
        <v>502</v>
      </c>
      <c r="BQ25" s="72" t="s">
        <v>243</v>
      </c>
      <c r="BR25" s="72" t="s">
        <v>546</v>
      </c>
      <c r="BS25" s="72" t="s">
        <v>588</v>
      </c>
      <c r="BT25" s="72">
        <v>1</v>
      </c>
    </row>
    <row r="26" spans="1:72" x14ac:dyDescent="0.4">
      <c r="A26" s="72" t="s">
        <v>261</v>
      </c>
      <c r="B26" s="72" t="s">
        <v>546</v>
      </c>
      <c r="C26" s="72" t="s">
        <v>350</v>
      </c>
      <c r="D26" s="72">
        <v>25</v>
      </c>
      <c r="F26" s="72" t="s">
        <v>377</v>
      </c>
      <c r="G26" s="72" t="s">
        <v>145</v>
      </c>
      <c r="H26" s="72">
        <v>1</v>
      </c>
      <c r="I26" s="72" t="s">
        <v>546</v>
      </c>
      <c r="J26" s="72" t="s">
        <v>363</v>
      </c>
      <c r="L26" s="72" t="s">
        <v>343</v>
      </c>
      <c r="M26" s="72" t="s">
        <v>565</v>
      </c>
      <c r="N26" s="72">
        <v>1</v>
      </c>
      <c r="O26" s="72" t="s">
        <v>546</v>
      </c>
      <c r="P26" s="72" t="s">
        <v>369</v>
      </c>
      <c r="Q26" s="72"/>
      <c r="R26" s="72" t="s">
        <v>410</v>
      </c>
      <c r="S26" s="73">
        <v>3400</v>
      </c>
      <c r="T26" s="72" t="s">
        <v>546</v>
      </c>
      <c r="U26" s="72" t="s">
        <v>351</v>
      </c>
      <c r="V26" s="72"/>
      <c r="W26" s="72"/>
      <c r="X26" s="72"/>
      <c r="Y26" s="72"/>
      <c r="Z26" s="72"/>
      <c r="AA26" s="72"/>
      <c r="AG26" s="72" t="s">
        <v>114</v>
      </c>
      <c r="AH26" s="72" t="s">
        <v>546</v>
      </c>
      <c r="AI26" s="72" t="s">
        <v>502</v>
      </c>
      <c r="BQ26" s="72" t="s">
        <v>244</v>
      </c>
      <c r="BR26" s="72" t="s">
        <v>546</v>
      </c>
      <c r="BS26" s="72" t="s">
        <v>588</v>
      </c>
      <c r="BT26" s="72">
        <v>1</v>
      </c>
    </row>
    <row r="27" spans="1:72" x14ac:dyDescent="0.4">
      <c r="A27" s="72" t="s">
        <v>347</v>
      </c>
      <c r="B27" s="72" t="s">
        <v>546</v>
      </c>
      <c r="C27" s="72" t="s">
        <v>350</v>
      </c>
      <c r="D27" s="72">
        <v>26</v>
      </c>
      <c r="F27" s="72" t="s">
        <v>306</v>
      </c>
      <c r="G27" s="72" t="s">
        <v>144</v>
      </c>
      <c r="H27" s="72">
        <v>1</v>
      </c>
      <c r="I27" s="72" t="s">
        <v>546</v>
      </c>
      <c r="J27" s="72" t="s">
        <v>363</v>
      </c>
      <c r="L27" s="72" t="s">
        <v>630</v>
      </c>
      <c r="M27" s="72" t="s">
        <v>431</v>
      </c>
      <c r="N27" s="72">
        <v>1</v>
      </c>
      <c r="O27" s="72" t="s">
        <v>546</v>
      </c>
      <c r="P27" s="72" t="s">
        <v>369</v>
      </c>
      <c r="Q27" s="72"/>
      <c r="R27" s="72" t="s">
        <v>412</v>
      </c>
      <c r="S27" s="73">
        <v>3750</v>
      </c>
      <c r="T27" s="72" t="s">
        <v>546</v>
      </c>
      <c r="U27" s="72" t="s">
        <v>351</v>
      </c>
      <c r="V27" s="72"/>
      <c r="W27" s="72"/>
      <c r="X27" s="72"/>
      <c r="Y27" s="72"/>
      <c r="Z27" s="72"/>
      <c r="AA27" s="72"/>
      <c r="AG27" s="72" t="s">
        <v>116</v>
      </c>
      <c r="AH27" s="72" t="s">
        <v>546</v>
      </c>
      <c r="AI27" s="72" t="s">
        <v>502</v>
      </c>
      <c r="BQ27" s="72" t="s">
        <v>331</v>
      </c>
      <c r="BR27" s="72" t="s">
        <v>546</v>
      </c>
      <c r="BS27" s="72" t="s">
        <v>588</v>
      </c>
      <c r="BT27" s="72">
        <v>1</v>
      </c>
    </row>
    <row r="28" spans="1:72" x14ac:dyDescent="0.4">
      <c r="F28" s="72" t="s">
        <v>226</v>
      </c>
      <c r="G28" s="72" t="s">
        <v>151</v>
      </c>
      <c r="H28" s="72">
        <v>1</v>
      </c>
      <c r="I28" s="72" t="s">
        <v>546</v>
      </c>
      <c r="J28" s="72" t="s">
        <v>363</v>
      </c>
      <c r="L28" s="72" t="s">
        <v>399</v>
      </c>
      <c r="M28" s="72" t="s">
        <v>456</v>
      </c>
      <c r="N28" s="72">
        <v>1</v>
      </c>
      <c r="O28" s="72" t="s">
        <v>546</v>
      </c>
      <c r="P28" s="72" t="s">
        <v>369</v>
      </c>
      <c r="Q28" s="72"/>
      <c r="R28" s="72" t="s">
        <v>416</v>
      </c>
      <c r="S28" s="73">
        <v>4100</v>
      </c>
      <c r="T28" s="72" t="s">
        <v>546</v>
      </c>
      <c r="U28" s="72" t="s">
        <v>351</v>
      </c>
      <c r="V28" s="72"/>
      <c r="W28" s="72"/>
      <c r="X28" s="72"/>
      <c r="Y28" s="72"/>
      <c r="Z28" s="72"/>
      <c r="AA28" s="72"/>
      <c r="AG28" s="72" t="s">
        <v>115</v>
      </c>
      <c r="AH28" s="72" t="s">
        <v>546</v>
      </c>
      <c r="AI28" s="72" t="s">
        <v>502</v>
      </c>
      <c r="BQ28" s="72" t="s">
        <v>250</v>
      </c>
      <c r="BR28" s="72" t="s">
        <v>546</v>
      </c>
      <c r="BS28" s="72" t="s">
        <v>588</v>
      </c>
      <c r="BT28" s="72">
        <v>1</v>
      </c>
    </row>
    <row r="29" spans="1:72" x14ac:dyDescent="0.4">
      <c r="F29" s="72" t="s">
        <v>556</v>
      </c>
      <c r="G29" s="72" t="s">
        <v>154</v>
      </c>
      <c r="H29" s="72">
        <v>1</v>
      </c>
      <c r="I29" s="72" t="s">
        <v>546</v>
      </c>
      <c r="J29" s="72" t="s">
        <v>363</v>
      </c>
      <c r="L29" s="72" t="s">
        <v>370</v>
      </c>
      <c r="M29" s="72" t="s">
        <v>429</v>
      </c>
      <c r="N29" s="72">
        <v>1</v>
      </c>
      <c r="O29" s="72" t="s">
        <v>546</v>
      </c>
      <c r="P29" s="72" t="s">
        <v>369</v>
      </c>
      <c r="Q29" s="72"/>
      <c r="R29" s="72" t="s">
        <v>419</v>
      </c>
      <c r="S29" s="73">
        <v>4450</v>
      </c>
      <c r="T29" s="72" t="s">
        <v>546</v>
      </c>
      <c r="U29" s="72" t="s">
        <v>351</v>
      </c>
      <c r="V29" s="72"/>
      <c r="W29" s="72"/>
      <c r="X29" s="72"/>
      <c r="Y29" s="72"/>
      <c r="Z29" s="72"/>
      <c r="AA29" s="72"/>
      <c r="AG29" s="72" t="s">
        <v>118</v>
      </c>
      <c r="AH29" s="72" t="s">
        <v>546</v>
      </c>
      <c r="AI29" s="72" t="s">
        <v>502</v>
      </c>
    </row>
    <row r="30" spans="1:72" x14ac:dyDescent="0.4">
      <c r="F30" s="72" t="s">
        <v>427</v>
      </c>
      <c r="G30" s="72" t="s">
        <v>145</v>
      </c>
      <c r="H30" s="72">
        <v>1</v>
      </c>
      <c r="I30" s="72" t="s">
        <v>546</v>
      </c>
      <c r="J30" s="72" t="s">
        <v>363</v>
      </c>
      <c r="L30" s="72" t="s">
        <v>344</v>
      </c>
      <c r="M30" s="72" t="s">
        <v>429</v>
      </c>
      <c r="N30" s="72">
        <v>1</v>
      </c>
      <c r="O30" s="72" t="s">
        <v>546</v>
      </c>
      <c r="P30" s="72" t="s">
        <v>369</v>
      </c>
      <c r="Q30" s="72"/>
      <c r="R30" s="72" t="s">
        <v>413</v>
      </c>
      <c r="S30" s="73">
        <v>4750</v>
      </c>
      <c r="T30" s="72" t="s">
        <v>546</v>
      </c>
      <c r="U30" s="72" t="s">
        <v>351</v>
      </c>
      <c r="V30" s="72"/>
      <c r="W30" s="72"/>
      <c r="X30" s="72"/>
      <c r="Y30" s="72"/>
      <c r="Z30" s="72"/>
      <c r="AA30" s="72"/>
      <c r="AG30" s="72" t="s">
        <v>122</v>
      </c>
      <c r="AH30" s="72" t="s">
        <v>546</v>
      </c>
      <c r="AI30" s="72" t="s">
        <v>502</v>
      </c>
    </row>
    <row r="31" spans="1:72" x14ac:dyDescent="0.4">
      <c r="F31" s="72" t="s">
        <v>667</v>
      </c>
      <c r="G31" s="72" t="s">
        <v>148</v>
      </c>
      <c r="H31" s="72">
        <v>1</v>
      </c>
      <c r="I31" s="72" t="s">
        <v>546</v>
      </c>
      <c r="J31" s="72" t="s">
        <v>363</v>
      </c>
      <c r="L31" s="72" t="s">
        <v>371</v>
      </c>
      <c r="M31" s="72" t="s">
        <v>429</v>
      </c>
      <c r="N31" s="72">
        <v>1</v>
      </c>
      <c r="O31" s="72" t="s">
        <v>546</v>
      </c>
      <c r="P31" s="72" t="s">
        <v>369</v>
      </c>
      <c r="Q31" s="72"/>
      <c r="R31" s="72" t="s">
        <v>428</v>
      </c>
      <c r="S31" s="73">
        <v>700</v>
      </c>
      <c r="T31" s="72" t="s">
        <v>546</v>
      </c>
      <c r="U31" s="72" t="s">
        <v>351</v>
      </c>
      <c r="V31" s="72"/>
      <c r="W31" s="72"/>
      <c r="X31" s="72"/>
      <c r="Y31" s="72"/>
      <c r="Z31" s="72"/>
      <c r="AA31" s="72"/>
      <c r="AG31" s="72" t="s">
        <v>120</v>
      </c>
      <c r="AH31" s="72" t="s">
        <v>546</v>
      </c>
      <c r="AI31" s="72" t="s">
        <v>502</v>
      </c>
    </row>
    <row r="32" spans="1:72" x14ac:dyDescent="0.4">
      <c r="F32" s="72" t="s">
        <v>625</v>
      </c>
      <c r="G32" s="72" t="s">
        <v>152</v>
      </c>
      <c r="H32" s="72">
        <v>1</v>
      </c>
      <c r="I32" s="72" t="s">
        <v>546</v>
      </c>
      <c r="J32" s="72" t="s">
        <v>363</v>
      </c>
      <c r="L32" s="72" t="s">
        <v>672</v>
      </c>
      <c r="M32" s="72" t="s">
        <v>431</v>
      </c>
      <c r="N32" s="72">
        <v>1</v>
      </c>
      <c r="O32" s="72" t="s">
        <v>546</v>
      </c>
      <c r="P32" s="72" t="s">
        <v>369</v>
      </c>
      <c r="Q32" s="72"/>
      <c r="R32" s="72" t="s">
        <v>431</v>
      </c>
      <c r="S32" s="73">
        <v>900</v>
      </c>
      <c r="T32" s="72" t="s">
        <v>546</v>
      </c>
      <c r="U32" s="72" t="s">
        <v>351</v>
      </c>
      <c r="V32" s="72"/>
      <c r="W32" s="72"/>
      <c r="X32" s="72"/>
      <c r="Y32" s="72"/>
      <c r="Z32" s="72"/>
      <c r="AA32" s="72"/>
      <c r="AG32" s="72" t="s">
        <v>119</v>
      </c>
      <c r="AH32" s="72" t="s">
        <v>546</v>
      </c>
      <c r="AI32" s="72" t="s">
        <v>502</v>
      </c>
    </row>
    <row r="33" spans="6:35" x14ac:dyDescent="0.4">
      <c r="F33" s="72" t="s">
        <v>643</v>
      </c>
      <c r="G33" s="72" t="s">
        <v>148</v>
      </c>
      <c r="H33" s="72">
        <v>1</v>
      </c>
      <c r="I33" s="72" t="s">
        <v>546</v>
      </c>
      <c r="J33" s="72" t="s">
        <v>363</v>
      </c>
      <c r="L33" s="72" t="s">
        <v>395</v>
      </c>
      <c r="M33" s="72" t="s">
        <v>432</v>
      </c>
      <c r="N33" s="72">
        <v>1</v>
      </c>
      <c r="O33" s="72" t="s">
        <v>546</v>
      </c>
      <c r="P33" s="72" t="s">
        <v>369</v>
      </c>
      <c r="Q33" s="72"/>
      <c r="R33" s="72" t="s">
        <v>429</v>
      </c>
      <c r="S33" s="73">
        <v>1100</v>
      </c>
      <c r="T33" s="72" t="s">
        <v>546</v>
      </c>
      <c r="U33" s="72" t="s">
        <v>351</v>
      </c>
      <c r="V33" s="72"/>
      <c r="W33" s="72"/>
      <c r="X33" s="72"/>
      <c r="Y33" s="72"/>
      <c r="Z33" s="72"/>
      <c r="AA33" s="72"/>
      <c r="AG33" s="72" t="s">
        <v>117</v>
      </c>
      <c r="AH33" s="72" t="s">
        <v>546</v>
      </c>
      <c r="AI33" s="72" t="s">
        <v>502</v>
      </c>
    </row>
    <row r="34" spans="6:35" x14ac:dyDescent="0.4">
      <c r="F34" s="72" t="s">
        <v>443</v>
      </c>
      <c r="G34" s="72" t="s">
        <v>151</v>
      </c>
      <c r="H34" s="72">
        <v>1</v>
      </c>
      <c r="I34" s="72" t="s">
        <v>546</v>
      </c>
      <c r="J34" s="72" t="s">
        <v>363</v>
      </c>
      <c r="L34" s="72" t="s">
        <v>397</v>
      </c>
      <c r="M34" s="72" t="s">
        <v>432</v>
      </c>
      <c r="N34" s="72">
        <v>1</v>
      </c>
      <c r="O34" s="72" t="s">
        <v>546</v>
      </c>
      <c r="P34" s="72" t="s">
        <v>369</v>
      </c>
      <c r="Q34" s="72"/>
      <c r="R34" s="72" t="s">
        <v>424</v>
      </c>
      <c r="S34" s="73">
        <v>1350</v>
      </c>
      <c r="T34" s="72" t="s">
        <v>546</v>
      </c>
      <c r="U34" s="72" t="s">
        <v>351</v>
      </c>
      <c r="V34" s="72"/>
      <c r="W34" s="72"/>
      <c r="X34" s="72"/>
      <c r="Y34" s="72"/>
      <c r="Z34" s="72"/>
      <c r="AA34" s="72"/>
      <c r="AG34" s="72" t="s">
        <v>121</v>
      </c>
      <c r="AH34" s="72" t="s">
        <v>546</v>
      </c>
      <c r="AI34" s="72" t="s">
        <v>502</v>
      </c>
    </row>
    <row r="35" spans="6:35" x14ac:dyDescent="0.4">
      <c r="F35" s="72" t="s">
        <v>401</v>
      </c>
      <c r="G35" s="72" t="s">
        <v>149</v>
      </c>
      <c r="H35" s="72">
        <v>1</v>
      </c>
      <c r="I35" s="72" t="s">
        <v>546</v>
      </c>
      <c r="J35" s="72" t="s">
        <v>363</v>
      </c>
      <c r="L35" s="72" t="s">
        <v>590</v>
      </c>
      <c r="M35" s="72" t="s">
        <v>622</v>
      </c>
      <c r="N35" s="72">
        <v>1</v>
      </c>
      <c r="O35" s="72" t="s">
        <v>546</v>
      </c>
      <c r="P35" s="72" t="s">
        <v>369</v>
      </c>
      <c r="Q35" s="72"/>
      <c r="R35" s="72" t="s">
        <v>420</v>
      </c>
      <c r="S35" s="73">
        <v>100</v>
      </c>
      <c r="T35" s="72" t="s">
        <v>546</v>
      </c>
      <c r="U35" s="72" t="s">
        <v>351</v>
      </c>
      <c r="V35" s="72"/>
      <c r="W35" s="72"/>
      <c r="X35" s="72"/>
      <c r="Y35" s="72"/>
      <c r="Z35" s="72"/>
      <c r="AA35" s="72"/>
      <c r="AG35" s="72" t="s">
        <v>123</v>
      </c>
      <c r="AH35" s="72" t="s">
        <v>546</v>
      </c>
      <c r="AI35" s="72" t="s">
        <v>502</v>
      </c>
    </row>
    <row r="36" spans="6:35" x14ac:dyDescent="0.4">
      <c r="F36" s="72" t="s">
        <v>402</v>
      </c>
      <c r="G36" s="72" t="s">
        <v>149</v>
      </c>
      <c r="H36" s="72">
        <v>1</v>
      </c>
      <c r="I36" s="72" t="s">
        <v>546</v>
      </c>
      <c r="J36" s="72" t="s">
        <v>363</v>
      </c>
      <c r="L36" s="72" t="s">
        <v>307</v>
      </c>
      <c r="M36" s="72" t="s">
        <v>565</v>
      </c>
      <c r="N36" s="72">
        <v>1</v>
      </c>
      <c r="O36" s="72" t="s">
        <v>546</v>
      </c>
      <c r="P36" s="72" t="s">
        <v>369</v>
      </c>
      <c r="Q36" s="72"/>
      <c r="R36" s="72" t="s">
        <v>438</v>
      </c>
      <c r="S36" s="73">
        <v>900</v>
      </c>
      <c r="T36" s="72" t="s">
        <v>546</v>
      </c>
      <c r="U36" s="72" t="s">
        <v>351</v>
      </c>
      <c r="V36" s="72"/>
      <c r="W36" s="72"/>
      <c r="X36" s="72"/>
      <c r="Y36" s="72"/>
      <c r="Z36" s="72"/>
      <c r="AA36" s="72"/>
      <c r="AG36" s="72" t="s">
        <v>124</v>
      </c>
      <c r="AH36" s="72" t="s">
        <v>546</v>
      </c>
      <c r="AI36" s="72" t="s">
        <v>502</v>
      </c>
    </row>
    <row r="37" spans="6:35" x14ac:dyDescent="0.4">
      <c r="F37" s="72" t="s">
        <v>633</v>
      </c>
      <c r="G37" s="72" t="s">
        <v>150</v>
      </c>
      <c r="H37" s="72">
        <v>1</v>
      </c>
      <c r="I37" s="72" t="s">
        <v>546</v>
      </c>
      <c r="J37" s="72" t="s">
        <v>363</v>
      </c>
      <c r="L37" s="72" t="s">
        <v>642</v>
      </c>
      <c r="M37" s="72" t="s">
        <v>622</v>
      </c>
      <c r="N37" s="72">
        <v>1</v>
      </c>
      <c r="O37" s="72" t="s">
        <v>546</v>
      </c>
      <c r="P37" s="72" t="s">
        <v>369</v>
      </c>
      <c r="Q37" s="72"/>
      <c r="R37" s="72" t="s">
        <v>437</v>
      </c>
      <c r="S37" s="73">
        <v>900</v>
      </c>
      <c r="T37" s="72" t="s">
        <v>546</v>
      </c>
      <c r="U37" s="72" t="s">
        <v>351</v>
      </c>
      <c r="V37" s="72"/>
      <c r="W37" s="72"/>
      <c r="X37" s="72"/>
      <c r="Y37" s="72"/>
      <c r="Z37" s="72"/>
      <c r="AA37" s="72"/>
      <c r="AG37" s="72" t="s">
        <v>125</v>
      </c>
      <c r="AH37" s="72" t="s">
        <v>546</v>
      </c>
      <c r="AI37" s="72" t="s">
        <v>502</v>
      </c>
    </row>
    <row r="38" spans="6:35" x14ac:dyDescent="0.4">
      <c r="F38" s="72" t="s">
        <v>228</v>
      </c>
      <c r="G38" s="72" t="s">
        <v>142</v>
      </c>
      <c r="H38" s="72">
        <v>1</v>
      </c>
      <c r="I38" s="72" t="s">
        <v>546</v>
      </c>
      <c r="J38" s="72" t="s">
        <v>363</v>
      </c>
      <c r="L38" s="72" t="s">
        <v>662</v>
      </c>
      <c r="M38" s="72" t="s">
        <v>622</v>
      </c>
      <c r="N38" s="72">
        <v>1</v>
      </c>
      <c r="O38" s="72" t="s">
        <v>546</v>
      </c>
      <c r="P38" s="72" t="s">
        <v>369</v>
      </c>
      <c r="Q38" s="72"/>
      <c r="R38" s="72" t="s">
        <v>455</v>
      </c>
      <c r="S38" s="73">
        <v>1100</v>
      </c>
      <c r="T38" s="72" t="s">
        <v>546</v>
      </c>
      <c r="U38" s="72" t="s">
        <v>351</v>
      </c>
      <c r="V38" s="72"/>
      <c r="W38" s="72"/>
      <c r="X38" s="72"/>
      <c r="Y38" s="72"/>
      <c r="Z38" s="72"/>
      <c r="AA38" s="72"/>
      <c r="AG38" s="72" t="s">
        <v>126</v>
      </c>
      <c r="AH38" s="72" t="s">
        <v>546</v>
      </c>
      <c r="AI38" s="72" t="s">
        <v>502</v>
      </c>
    </row>
    <row r="39" spans="6:35" x14ac:dyDescent="0.4">
      <c r="F39" s="72" t="s">
        <v>644</v>
      </c>
      <c r="G39" s="72" t="s">
        <v>417</v>
      </c>
      <c r="H39" s="72">
        <v>1</v>
      </c>
      <c r="I39" s="72" t="s">
        <v>546</v>
      </c>
      <c r="J39" s="72" t="s">
        <v>363</v>
      </c>
      <c r="L39" s="72" t="s">
        <v>591</v>
      </c>
      <c r="M39" s="72" t="s">
        <v>622</v>
      </c>
      <c r="N39" s="72">
        <v>1</v>
      </c>
      <c r="O39" s="72" t="s">
        <v>546</v>
      </c>
      <c r="P39" s="72" t="s">
        <v>369</v>
      </c>
      <c r="Q39" s="72"/>
      <c r="R39" s="72" t="s">
        <v>440</v>
      </c>
      <c r="S39" s="73">
        <v>700</v>
      </c>
      <c r="T39" s="72" t="s">
        <v>546</v>
      </c>
      <c r="U39" s="72" t="s">
        <v>351</v>
      </c>
      <c r="V39" s="72"/>
      <c r="W39" s="72"/>
      <c r="X39" s="72"/>
      <c r="Y39" s="72"/>
      <c r="Z39" s="72"/>
      <c r="AA39" s="72"/>
      <c r="AG39" s="72" t="s">
        <v>127</v>
      </c>
      <c r="AH39" s="72" t="s">
        <v>546</v>
      </c>
      <c r="AI39" s="72" t="s">
        <v>502</v>
      </c>
    </row>
    <row r="40" spans="6:35" x14ac:dyDescent="0.4">
      <c r="F40" s="72" t="s">
        <v>263</v>
      </c>
      <c r="G40" s="72" t="s">
        <v>190</v>
      </c>
      <c r="H40" s="72">
        <v>1</v>
      </c>
      <c r="I40" s="72" t="s">
        <v>546</v>
      </c>
      <c r="J40" s="72" t="s">
        <v>363</v>
      </c>
      <c r="L40" s="72" t="s">
        <v>316</v>
      </c>
      <c r="M40" s="72" t="s">
        <v>251</v>
      </c>
      <c r="N40" s="72">
        <v>1</v>
      </c>
      <c r="O40" s="72" t="s">
        <v>546</v>
      </c>
      <c r="P40" s="72" t="s">
        <v>369</v>
      </c>
      <c r="Q40" s="72"/>
      <c r="R40" s="72" t="s">
        <v>430</v>
      </c>
      <c r="S40" s="73">
        <v>900</v>
      </c>
      <c r="T40" s="72" t="s">
        <v>546</v>
      </c>
      <c r="U40" s="72" t="s">
        <v>351</v>
      </c>
      <c r="V40" s="72"/>
      <c r="W40" s="72"/>
      <c r="X40" s="72"/>
      <c r="Y40" s="72"/>
      <c r="Z40" s="72"/>
      <c r="AA40" s="72"/>
      <c r="AG40" s="72" t="s">
        <v>128</v>
      </c>
      <c r="AH40" s="72" t="s">
        <v>546</v>
      </c>
      <c r="AI40" s="72" t="s">
        <v>502</v>
      </c>
    </row>
    <row r="41" spans="6:35" x14ac:dyDescent="0.4">
      <c r="F41" s="72" t="s">
        <v>365</v>
      </c>
      <c r="G41" s="72" t="s">
        <v>411</v>
      </c>
      <c r="H41" s="72">
        <v>1</v>
      </c>
      <c r="I41" s="72" t="s">
        <v>546</v>
      </c>
      <c r="J41" s="72" t="s">
        <v>363</v>
      </c>
      <c r="L41" s="72" t="s">
        <v>373</v>
      </c>
      <c r="M41" s="72" t="s">
        <v>430</v>
      </c>
      <c r="N41" s="72">
        <v>1</v>
      </c>
      <c r="O41" s="72" t="s">
        <v>546</v>
      </c>
      <c r="P41" s="72" t="s">
        <v>369</v>
      </c>
      <c r="Q41" s="72"/>
      <c r="R41" s="72" t="s">
        <v>432</v>
      </c>
      <c r="S41" s="73">
        <v>2400</v>
      </c>
      <c r="T41" s="72" t="s">
        <v>546</v>
      </c>
      <c r="U41" s="72" t="s">
        <v>351</v>
      </c>
      <c r="W41" s="72"/>
      <c r="X41" s="72"/>
      <c r="Y41" s="72"/>
      <c r="Z41" s="72"/>
      <c r="AG41" s="72" t="s">
        <v>129</v>
      </c>
      <c r="AH41" s="72" t="s">
        <v>546</v>
      </c>
      <c r="AI41" s="72" t="s">
        <v>502</v>
      </c>
    </row>
    <row r="42" spans="6:35" x14ac:dyDescent="0.4">
      <c r="F42" s="72" t="s">
        <v>557</v>
      </c>
      <c r="G42" s="72" t="s">
        <v>413</v>
      </c>
      <c r="H42" s="72">
        <v>1</v>
      </c>
      <c r="I42" s="72" t="s">
        <v>546</v>
      </c>
      <c r="J42" s="72" t="s">
        <v>363</v>
      </c>
      <c r="L42" s="72" t="s">
        <v>423</v>
      </c>
      <c r="M42" s="72" t="s">
        <v>424</v>
      </c>
      <c r="N42" s="72">
        <v>1</v>
      </c>
      <c r="O42" s="72" t="s">
        <v>546</v>
      </c>
      <c r="P42" s="72" t="s">
        <v>369</v>
      </c>
      <c r="Q42" s="72"/>
      <c r="R42" s="72" t="s">
        <v>456</v>
      </c>
      <c r="S42" s="73">
        <v>1100</v>
      </c>
      <c r="T42" s="72" t="s">
        <v>546</v>
      </c>
      <c r="U42" s="72" t="s">
        <v>351</v>
      </c>
      <c r="W42" s="72"/>
      <c r="X42" s="72"/>
      <c r="Y42" s="72"/>
      <c r="Z42" s="72"/>
      <c r="AG42" s="72" t="s">
        <v>131</v>
      </c>
      <c r="AH42" s="72" t="s">
        <v>546</v>
      </c>
      <c r="AI42" s="72" t="s">
        <v>502</v>
      </c>
    </row>
    <row r="43" spans="6:35" x14ac:dyDescent="0.4">
      <c r="F43" s="72" t="s">
        <v>255</v>
      </c>
      <c r="G43" s="72" t="s">
        <v>190</v>
      </c>
      <c r="H43" s="72">
        <v>1</v>
      </c>
      <c r="I43" s="72" t="s">
        <v>546</v>
      </c>
      <c r="J43" s="72" t="s">
        <v>363</v>
      </c>
      <c r="L43" s="72" t="s">
        <v>646</v>
      </c>
      <c r="M43" s="72" t="s">
        <v>431</v>
      </c>
      <c r="N43" s="72">
        <v>1</v>
      </c>
      <c r="O43" s="72" t="s">
        <v>546</v>
      </c>
      <c r="P43" s="72" t="s">
        <v>369</v>
      </c>
      <c r="Q43" s="72"/>
      <c r="R43" s="72" t="s">
        <v>433</v>
      </c>
      <c r="S43" s="73">
        <v>1600</v>
      </c>
      <c r="T43" s="72" t="s">
        <v>546</v>
      </c>
      <c r="U43" s="72" t="s">
        <v>351</v>
      </c>
      <c r="W43" s="72"/>
      <c r="X43" s="72"/>
      <c r="Y43" s="72"/>
      <c r="Z43" s="72"/>
      <c r="AG43" s="72" t="s">
        <v>130</v>
      </c>
      <c r="AH43" s="72" t="s">
        <v>546</v>
      </c>
      <c r="AI43" s="72" t="s">
        <v>502</v>
      </c>
    </row>
    <row r="44" spans="6:35" x14ac:dyDescent="0.4">
      <c r="F44" s="72" t="s">
        <v>256</v>
      </c>
      <c r="G44" s="72" t="s">
        <v>142</v>
      </c>
      <c r="H44" s="72">
        <v>1</v>
      </c>
      <c r="I44" s="72" t="s">
        <v>546</v>
      </c>
      <c r="J44" s="72" t="s">
        <v>363</v>
      </c>
      <c r="L44" s="72" t="s">
        <v>441</v>
      </c>
      <c r="M44" s="72" t="s">
        <v>565</v>
      </c>
      <c r="N44" s="72">
        <v>1</v>
      </c>
      <c r="O44" s="72" t="s">
        <v>546</v>
      </c>
      <c r="P44" s="72" t="s">
        <v>369</v>
      </c>
      <c r="Q44" s="72"/>
      <c r="R44" s="72" t="s">
        <v>565</v>
      </c>
      <c r="S44" s="73">
        <v>1300</v>
      </c>
      <c r="T44" s="72" t="s">
        <v>546</v>
      </c>
      <c r="U44" s="72" t="s">
        <v>351</v>
      </c>
      <c r="W44" s="72"/>
      <c r="X44" s="72"/>
      <c r="Y44" s="72"/>
      <c r="Z44" s="72"/>
      <c r="AG44" s="72" t="s">
        <v>132</v>
      </c>
      <c r="AH44" s="72" t="s">
        <v>546</v>
      </c>
      <c r="AI44" s="72" t="s">
        <v>502</v>
      </c>
    </row>
    <row r="45" spans="6:35" x14ac:dyDescent="0.4">
      <c r="F45" s="72" t="s">
        <v>312</v>
      </c>
      <c r="G45" s="72" t="s">
        <v>149</v>
      </c>
      <c r="H45" s="72">
        <v>1</v>
      </c>
      <c r="I45" s="72" t="s">
        <v>546</v>
      </c>
      <c r="J45" s="72" t="s">
        <v>363</v>
      </c>
      <c r="L45" s="72" t="s">
        <v>219</v>
      </c>
      <c r="M45" s="72" t="s">
        <v>219</v>
      </c>
      <c r="N45" s="72">
        <v>1</v>
      </c>
      <c r="O45" s="72" t="s">
        <v>546</v>
      </c>
      <c r="P45" s="72" t="s">
        <v>369</v>
      </c>
      <c r="Q45" s="72"/>
      <c r="R45" s="72" t="s">
        <v>571</v>
      </c>
      <c r="S45" s="73">
        <v>1500</v>
      </c>
      <c r="T45" s="72" t="s">
        <v>546</v>
      </c>
      <c r="U45" s="72" t="s">
        <v>351</v>
      </c>
      <c r="W45" s="72"/>
      <c r="X45" s="72"/>
      <c r="Y45" s="72"/>
      <c r="Z45" s="72"/>
      <c r="AG45" s="72" t="s">
        <v>140</v>
      </c>
      <c r="AH45" s="72" t="s">
        <v>546</v>
      </c>
      <c r="AI45" s="72" t="s">
        <v>502</v>
      </c>
    </row>
    <row r="46" spans="6:35" x14ac:dyDescent="0.4">
      <c r="F46" s="72" t="s">
        <v>275</v>
      </c>
      <c r="G46" s="72" t="s">
        <v>151</v>
      </c>
      <c r="H46" s="72">
        <v>1</v>
      </c>
      <c r="I46" s="72" t="s">
        <v>546</v>
      </c>
      <c r="J46" s="72" t="s">
        <v>363</v>
      </c>
      <c r="L46" s="72" t="s">
        <v>621</v>
      </c>
      <c r="M46" s="72" t="s">
        <v>420</v>
      </c>
      <c r="N46" s="72">
        <v>1</v>
      </c>
      <c r="O46" s="72" t="s">
        <v>546</v>
      </c>
      <c r="P46" s="72" t="s">
        <v>369</v>
      </c>
      <c r="Q46" s="72"/>
      <c r="R46" s="72" t="s">
        <v>400</v>
      </c>
      <c r="S46" s="73">
        <v>4450</v>
      </c>
      <c r="T46" s="72" t="s">
        <v>546</v>
      </c>
      <c r="U46" s="72" t="s">
        <v>351</v>
      </c>
      <c r="W46" s="72"/>
      <c r="X46" s="72"/>
      <c r="Y46" s="72"/>
      <c r="Z46" s="72"/>
      <c r="AG46" s="72" t="s">
        <v>141</v>
      </c>
      <c r="AH46" s="72" t="s">
        <v>546</v>
      </c>
      <c r="AI46" s="72" t="s">
        <v>502</v>
      </c>
    </row>
    <row r="47" spans="6:35" x14ac:dyDescent="0.4">
      <c r="F47" s="72" t="s">
        <v>388</v>
      </c>
      <c r="G47" s="72" t="s">
        <v>572</v>
      </c>
      <c r="H47" s="72">
        <v>1</v>
      </c>
      <c r="I47" s="72" t="s">
        <v>546</v>
      </c>
      <c r="J47" s="72" t="s">
        <v>363</v>
      </c>
      <c r="L47" s="72" t="s">
        <v>592</v>
      </c>
      <c r="M47" s="72" t="s">
        <v>428</v>
      </c>
      <c r="N47" s="72">
        <v>1</v>
      </c>
      <c r="O47" s="72" t="s">
        <v>546</v>
      </c>
      <c r="P47" s="72" t="s">
        <v>369</v>
      </c>
      <c r="Q47" s="72"/>
      <c r="R47" s="72" t="s">
        <v>145</v>
      </c>
      <c r="S47" s="73">
        <v>3750</v>
      </c>
      <c r="T47" s="72" t="s">
        <v>546</v>
      </c>
      <c r="U47" s="72" t="s">
        <v>351</v>
      </c>
      <c r="W47" s="72"/>
      <c r="X47" s="72"/>
      <c r="Y47" s="72"/>
      <c r="Z47" s="72"/>
      <c r="AG47" s="72" t="s">
        <v>137</v>
      </c>
      <c r="AH47" s="72" t="s">
        <v>546</v>
      </c>
      <c r="AI47" s="72" t="s">
        <v>502</v>
      </c>
    </row>
    <row r="48" spans="6:35" x14ac:dyDescent="0.4">
      <c r="F48" s="72" t="s">
        <v>229</v>
      </c>
      <c r="G48" s="72" t="s">
        <v>142</v>
      </c>
      <c r="H48" s="72">
        <v>1</v>
      </c>
      <c r="I48" s="72" t="s">
        <v>546</v>
      </c>
      <c r="J48" s="72" t="s">
        <v>363</v>
      </c>
      <c r="L48" s="72" t="s">
        <v>425</v>
      </c>
      <c r="M48" s="72" t="s">
        <v>428</v>
      </c>
      <c r="N48" s="72">
        <v>1</v>
      </c>
      <c r="O48" s="72" t="s">
        <v>546</v>
      </c>
      <c r="P48" s="72" t="s">
        <v>369</v>
      </c>
      <c r="Q48" s="72"/>
      <c r="R48" s="72" t="s">
        <v>622</v>
      </c>
      <c r="S48" s="73">
        <v>500</v>
      </c>
      <c r="T48" s="72" t="s">
        <v>546</v>
      </c>
      <c r="U48" s="72" t="s">
        <v>351</v>
      </c>
      <c r="AG48" s="72" t="s">
        <v>135</v>
      </c>
      <c r="AH48" s="72" t="s">
        <v>546</v>
      </c>
      <c r="AI48" s="72" t="s">
        <v>502</v>
      </c>
    </row>
    <row r="49" spans="6:35" x14ac:dyDescent="0.4">
      <c r="F49" s="72" t="s">
        <v>389</v>
      </c>
      <c r="G49" s="72" t="s">
        <v>144</v>
      </c>
      <c r="H49" s="72">
        <v>1</v>
      </c>
      <c r="I49" s="72" t="s">
        <v>546</v>
      </c>
      <c r="J49" s="72" t="s">
        <v>363</v>
      </c>
      <c r="L49" s="72" t="s">
        <v>655</v>
      </c>
      <c r="M49" s="72" t="s">
        <v>428</v>
      </c>
      <c r="N49" s="72">
        <v>1</v>
      </c>
      <c r="O49" s="72" t="s">
        <v>546</v>
      </c>
      <c r="P49" s="72" t="s">
        <v>369</v>
      </c>
      <c r="Q49" s="72"/>
      <c r="R49" s="72"/>
      <c r="S49" s="73"/>
      <c r="T49" s="72"/>
      <c r="U49" s="72"/>
      <c r="AG49" s="72" t="s">
        <v>133</v>
      </c>
      <c r="AH49" s="72" t="s">
        <v>546</v>
      </c>
      <c r="AI49" s="72" t="s">
        <v>502</v>
      </c>
    </row>
    <row r="50" spans="6:35" x14ac:dyDescent="0.4">
      <c r="F50" s="72" t="s">
        <v>230</v>
      </c>
      <c r="G50" s="72" t="s">
        <v>154</v>
      </c>
      <c r="H50" s="72">
        <v>1</v>
      </c>
      <c r="I50" s="72" t="s">
        <v>546</v>
      </c>
      <c r="J50" s="72" t="s">
        <v>363</v>
      </c>
      <c r="L50" s="72" t="s">
        <v>553</v>
      </c>
      <c r="M50" s="72" t="s">
        <v>429</v>
      </c>
      <c r="N50" s="72">
        <v>1</v>
      </c>
      <c r="O50" s="72" t="s">
        <v>546</v>
      </c>
      <c r="P50" s="72" t="s">
        <v>369</v>
      </c>
      <c r="Q50" s="72"/>
      <c r="R50" s="72"/>
      <c r="S50" s="73"/>
      <c r="T50" s="72"/>
      <c r="U50" s="72"/>
      <c r="AG50" s="72" t="s">
        <v>134</v>
      </c>
      <c r="AH50" s="72" t="s">
        <v>546</v>
      </c>
      <c r="AI50" s="72" t="s">
        <v>502</v>
      </c>
    </row>
    <row r="51" spans="6:35" x14ac:dyDescent="0.4">
      <c r="F51" s="72" t="s">
        <v>231</v>
      </c>
      <c r="G51" s="72" t="s">
        <v>151</v>
      </c>
      <c r="H51" s="72">
        <v>1</v>
      </c>
      <c r="I51" s="72" t="s">
        <v>546</v>
      </c>
      <c r="J51" s="72" t="s">
        <v>363</v>
      </c>
      <c r="L51" s="72" t="s">
        <v>649</v>
      </c>
      <c r="M51" s="72" t="s">
        <v>420</v>
      </c>
      <c r="N51" s="72">
        <v>1</v>
      </c>
      <c r="O51" s="72" t="s">
        <v>546</v>
      </c>
      <c r="P51" s="72" t="s">
        <v>369</v>
      </c>
      <c r="Q51" s="72"/>
      <c r="R51" s="72"/>
      <c r="S51" s="73"/>
      <c r="T51" s="72"/>
      <c r="U51" s="72"/>
      <c r="AG51" s="72" t="s">
        <v>503</v>
      </c>
      <c r="AH51" s="72" t="s">
        <v>546</v>
      </c>
      <c r="AI51" s="72" t="s">
        <v>502</v>
      </c>
    </row>
    <row r="52" spans="6:35" x14ac:dyDescent="0.4">
      <c r="F52" s="72" t="s">
        <v>380</v>
      </c>
      <c r="G52" s="72" t="s">
        <v>145</v>
      </c>
      <c r="H52" s="72">
        <v>1</v>
      </c>
      <c r="I52" s="72" t="s">
        <v>546</v>
      </c>
      <c r="J52" s="72" t="s">
        <v>363</v>
      </c>
      <c r="L52" s="72" t="s">
        <v>677</v>
      </c>
      <c r="M52" s="72" t="s">
        <v>622</v>
      </c>
      <c r="N52" s="72">
        <v>1</v>
      </c>
      <c r="O52" s="72" t="s">
        <v>546</v>
      </c>
      <c r="P52" s="72" t="s">
        <v>369</v>
      </c>
      <c r="Q52" s="72"/>
      <c r="R52" s="72"/>
      <c r="S52" s="73"/>
      <c r="T52" s="72"/>
      <c r="U52" s="72"/>
      <c r="AG52" s="72" t="s">
        <v>504</v>
      </c>
      <c r="AH52" s="72" t="s">
        <v>546</v>
      </c>
      <c r="AI52" s="72" t="s">
        <v>502</v>
      </c>
    </row>
    <row r="53" spans="6:35" x14ac:dyDescent="0.4">
      <c r="F53" s="72" t="s">
        <v>403</v>
      </c>
      <c r="G53" s="72" t="s">
        <v>151</v>
      </c>
      <c r="H53" s="72">
        <v>1</v>
      </c>
      <c r="I53" s="72" t="s">
        <v>546</v>
      </c>
      <c r="J53" s="72" t="s">
        <v>363</v>
      </c>
      <c r="L53" s="72" t="s">
        <v>678</v>
      </c>
      <c r="M53" s="72" t="s">
        <v>437</v>
      </c>
      <c r="N53" s="72">
        <v>1</v>
      </c>
      <c r="O53" s="72" t="s">
        <v>546</v>
      </c>
      <c r="P53" s="72" t="s">
        <v>369</v>
      </c>
      <c r="Q53" s="72"/>
      <c r="R53" s="72"/>
      <c r="S53" s="73"/>
      <c r="T53" s="72"/>
      <c r="U53" s="72"/>
      <c r="AG53" s="72" t="s">
        <v>505</v>
      </c>
      <c r="AH53" s="72" t="s">
        <v>546</v>
      </c>
      <c r="AI53" s="72" t="s">
        <v>502</v>
      </c>
    </row>
    <row r="54" spans="6:35" x14ac:dyDescent="0.4">
      <c r="F54" s="72" t="s">
        <v>232</v>
      </c>
      <c r="G54" s="72" t="s">
        <v>145</v>
      </c>
      <c r="H54" s="72">
        <v>1</v>
      </c>
      <c r="I54" s="72" t="s">
        <v>546</v>
      </c>
      <c r="J54" s="72" t="s">
        <v>363</v>
      </c>
      <c r="L54" s="72" t="s">
        <v>554</v>
      </c>
      <c r="M54" s="72" t="s">
        <v>433</v>
      </c>
      <c r="N54" s="72">
        <v>1</v>
      </c>
      <c r="O54" s="72" t="s">
        <v>546</v>
      </c>
      <c r="P54" s="72" t="s">
        <v>369</v>
      </c>
      <c r="Q54" s="72"/>
      <c r="R54" s="72"/>
      <c r="S54" s="73"/>
      <c r="T54" s="72"/>
      <c r="U54" s="72"/>
      <c r="AG54" s="72" t="s">
        <v>506</v>
      </c>
      <c r="AH54" s="72" t="s">
        <v>546</v>
      </c>
      <c r="AI54" s="72" t="s">
        <v>502</v>
      </c>
    </row>
    <row r="55" spans="6:35" x14ac:dyDescent="0.4">
      <c r="F55" s="72" t="s">
        <v>444</v>
      </c>
      <c r="G55" s="72" t="s">
        <v>147</v>
      </c>
      <c r="H55" s="72">
        <v>1</v>
      </c>
      <c r="I55" s="72" t="s">
        <v>546</v>
      </c>
      <c r="J55" s="72" t="s">
        <v>363</v>
      </c>
      <c r="L55" s="72" t="s">
        <v>673</v>
      </c>
      <c r="M55" s="72" t="s">
        <v>622</v>
      </c>
      <c r="N55" s="72">
        <v>1</v>
      </c>
      <c r="O55" s="72" t="s">
        <v>546</v>
      </c>
      <c r="P55" s="72" t="s">
        <v>369</v>
      </c>
      <c r="Q55" s="72"/>
      <c r="R55" s="72"/>
      <c r="S55" s="73"/>
      <c r="T55" s="72"/>
      <c r="U55" s="72"/>
      <c r="AG55" s="72" t="s">
        <v>507</v>
      </c>
      <c r="AH55" s="72" t="s">
        <v>546</v>
      </c>
      <c r="AI55" s="72" t="s">
        <v>502</v>
      </c>
    </row>
    <row r="56" spans="6:35" x14ac:dyDescent="0.4">
      <c r="F56" s="72" t="s">
        <v>381</v>
      </c>
      <c r="G56" s="72" t="s">
        <v>151</v>
      </c>
      <c r="H56" s="72">
        <v>1</v>
      </c>
      <c r="I56" s="72" t="s">
        <v>546</v>
      </c>
      <c r="J56" s="72" t="s">
        <v>363</v>
      </c>
      <c r="L56" s="72" t="s">
        <v>346</v>
      </c>
      <c r="M56" s="72" t="s">
        <v>429</v>
      </c>
      <c r="N56" s="72">
        <v>1</v>
      </c>
      <c r="O56" s="72" t="s">
        <v>546</v>
      </c>
      <c r="P56" s="72" t="s">
        <v>369</v>
      </c>
      <c r="Q56" s="72"/>
      <c r="R56" s="72"/>
      <c r="S56" s="73"/>
      <c r="T56" s="72"/>
      <c r="U56" s="72"/>
      <c r="AG56" s="72" t="s">
        <v>508</v>
      </c>
      <c r="AH56" s="72" t="s">
        <v>546</v>
      </c>
      <c r="AI56" s="72" t="s">
        <v>502</v>
      </c>
    </row>
    <row r="57" spans="6:35" x14ac:dyDescent="0.4">
      <c r="F57" s="72" t="s">
        <v>668</v>
      </c>
      <c r="G57" s="72" t="s">
        <v>148</v>
      </c>
      <c r="H57" s="72">
        <v>1</v>
      </c>
      <c r="I57" s="72" t="s">
        <v>546</v>
      </c>
      <c r="J57" s="72" t="s">
        <v>363</v>
      </c>
      <c r="L57" s="72" t="s">
        <v>426</v>
      </c>
      <c r="M57" s="72" t="s">
        <v>420</v>
      </c>
      <c r="N57" s="72">
        <v>9</v>
      </c>
      <c r="O57" s="72" t="s">
        <v>546</v>
      </c>
      <c r="P57" s="72" t="s">
        <v>369</v>
      </c>
      <c r="Q57" s="72"/>
      <c r="R57" s="72"/>
      <c r="S57" s="73"/>
      <c r="T57" s="72"/>
      <c r="U57" s="72"/>
      <c r="AG57" s="72" t="s">
        <v>509</v>
      </c>
      <c r="AH57" s="72" t="s">
        <v>546</v>
      </c>
      <c r="AI57" s="72" t="s">
        <v>502</v>
      </c>
    </row>
    <row r="58" spans="6:35" x14ac:dyDescent="0.4">
      <c r="F58" s="72" t="s">
        <v>324</v>
      </c>
      <c r="G58" s="72" t="s">
        <v>144</v>
      </c>
      <c r="H58" s="72">
        <v>1</v>
      </c>
      <c r="I58" s="72" t="s">
        <v>546</v>
      </c>
      <c r="J58" s="72" t="s">
        <v>363</v>
      </c>
      <c r="L58" s="72" t="s">
        <v>566</v>
      </c>
      <c r="M58" s="72" t="s">
        <v>432</v>
      </c>
      <c r="N58" s="72">
        <v>9</v>
      </c>
      <c r="O58" s="72" t="s">
        <v>546</v>
      </c>
      <c r="P58" s="72" t="s">
        <v>369</v>
      </c>
      <c r="R58" s="72"/>
      <c r="S58" s="73"/>
      <c r="T58" s="72"/>
      <c r="U58" s="72"/>
      <c r="AG58" s="72" t="s">
        <v>510</v>
      </c>
      <c r="AH58" s="72" t="s">
        <v>546</v>
      </c>
      <c r="AI58" s="72" t="s">
        <v>502</v>
      </c>
    </row>
    <row r="59" spans="6:35" x14ac:dyDescent="0.4">
      <c r="F59" s="72" t="s">
        <v>319</v>
      </c>
      <c r="G59" s="72" t="s">
        <v>153</v>
      </c>
      <c r="H59" s="72">
        <v>1</v>
      </c>
      <c r="I59" s="72" t="s">
        <v>546</v>
      </c>
      <c r="J59" s="72" t="s">
        <v>363</v>
      </c>
      <c r="L59" s="72" t="s">
        <v>567</v>
      </c>
      <c r="M59" s="72" t="s">
        <v>430</v>
      </c>
      <c r="N59" s="72">
        <v>9</v>
      </c>
      <c r="O59" s="72" t="s">
        <v>546</v>
      </c>
      <c r="P59" s="72" t="s">
        <v>369</v>
      </c>
      <c r="R59" s="72"/>
      <c r="S59" s="73"/>
      <c r="T59" s="72"/>
      <c r="U59" s="72"/>
      <c r="AG59" s="72" t="s">
        <v>511</v>
      </c>
      <c r="AH59" s="72" t="s">
        <v>546</v>
      </c>
      <c r="AI59" s="72" t="s">
        <v>502</v>
      </c>
    </row>
    <row r="60" spans="6:35" x14ac:dyDescent="0.4">
      <c r="F60" s="72" t="s">
        <v>382</v>
      </c>
      <c r="G60" s="72" t="s">
        <v>419</v>
      </c>
      <c r="H60" s="72">
        <v>1</v>
      </c>
      <c r="I60" s="72" t="s">
        <v>546</v>
      </c>
      <c r="J60" s="72" t="s">
        <v>363</v>
      </c>
      <c r="L60" s="72" t="s">
        <v>568</v>
      </c>
      <c r="M60" s="72" t="s">
        <v>433</v>
      </c>
      <c r="N60" s="72">
        <v>9</v>
      </c>
      <c r="O60" s="72" t="s">
        <v>546</v>
      </c>
      <c r="P60" s="72" t="s">
        <v>369</v>
      </c>
      <c r="R60" s="72"/>
      <c r="S60" s="73"/>
      <c r="T60" s="72"/>
      <c r="U60" s="72"/>
      <c r="AG60" s="72" t="s">
        <v>512</v>
      </c>
      <c r="AH60" s="72" t="s">
        <v>546</v>
      </c>
      <c r="AI60" s="72" t="s">
        <v>502</v>
      </c>
    </row>
    <row r="61" spans="6:35" x14ac:dyDescent="0.4">
      <c r="F61" s="72" t="s">
        <v>619</v>
      </c>
      <c r="G61" s="72" t="s">
        <v>152</v>
      </c>
      <c r="H61" s="72">
        <v>1</v>
      </c>
      <c r="I61" s="72" t="s">
        <v>546</v>
      </c>
      <c r="J61" s="72" t="s">
        <v>363</v>
      </c>
      <c r="L61" s="72" t="s">
        <v>478</v>
      </c>
      <c r="M61" s="72" t="s">
        <v>455</v>
      </c>
      <c r="N61" s="72">
        <v>9</v>
      </c>
      <c r="O61" s="72" t="s">
        <v>546</v>
      </c>
      <c r="P61" s="72" t="s">
        <v>369</v>
      </c>
      <c r="R61" s="72"/>
      <c r="S61" s="73"/>
      <c r="T61" s="72"/>
      <c r="U61" s="72"/>
      <c r="AG61" s="72" t="s">
        <v>513</v>
      </c>
      <c r="AH61" s="72" t="s">
        <v>546</v>
      </c>
      <c r="AI61" s="72" t="s">
        <v>502</v>
      </c>
    </row>
    <row r="62" spans="6:35" x14ac:dyDescent="0.4">
      <c r="F62" s="72" t="s">
        <v>372</v>
      </c>
      <c r="G62" s="72" t="s">
        <v>152</v>
      </c>
      <c r="H62" s="72">
        <v>1</v>
      </c>
      <c r="I62" s="72" t="s">
        <v>546</v>
      </c>
      <c r="J62" s="72" t="s">
        <v>363</v>
      </c>
      <c r="L62" s="72" t="s">
        <v>479</v>
      </c>
      <c r="M62" s="72" t="s">
        <v>428</v>
      </c>
      <c r="N62" s="72">
        <v>9</v>
      </c>
      <c r="O62" s="72" t="s">
        <v>546</v>
      </c>
      <c r="P62" s="72" t="s">
        <v>369</v>
      </c>
      <c r="R62" s="72"/>
      <c r="S62" s="73"/>
      <c r="T62" s="72"/>
      <c r="U62" s="72"/>
      <c r="AG62" s="72" t="s">
        <v>514</v>
      </c>
      <c r="AH62" s="72" t="s">
        <v>546</v>
      </c>
      <c r="AI62" s="72" t="s">
        <v>502</v>
      </c>
    </row>
    <row r="63" spans="6:35" x14ac:dyDescent="0.4">
      <c r="F63" s="72" t="s">
        <v>320</v>
      </c>
      <c r="G63" s="72" t="s">
        <v>413</v>
      </c>
      <c r="H63" s="72">
        <v>1</v>
      </c>
      <c r="I63" s="72" t="s">
        <v>546</v>
      </c>
      <c r="J63" s="72" t="s">
        <v>363</v>
      </c>
      <c r="L63" s="72" t="s">
        <v>480</v>
      </c>
      <c r="M63" s="72" t="s">
        <v>438</v>
      </c>
      <c r="N63" s="72">
        <v>9</v>
      </c>
      <c r="O63" s="72" t="s">
        <v>546</v>
      </c>
      <c r="P63" s="72" t="s">
        <v>369</v>
      </c>
      <c r="R63" s="72"/>
      <c r="S63" s="73"/>
      <c r="T63" s="72"/>
      <c r="U63" s="72"/>
      <c r="AG63" s="72" t="s">
        <v>515</v>
      </c>
      <c r="AH63" s="72" t="s">
        <v>546</v>
      </c>
      <c r="AI63" s="72" t="s">
        <v>502</v>
      </c>
    </row>
    <row r="64" spans="6:35" x14ac:dyDescent="0.4">
      <c r="F64" s="72" t="s">
        <v>233</v>
      </c>
      <c r="G64" s="72" t="s">
        <v>151</v>
      </c>
      <c r="H64" s="72">
        <v>1</v>
      </c>
      <c r="I64" s="72" t="s">
        <v>546</v>
      </c>
      <c r="J64" s="72" t="s">
        <v>363</v>
      </c>
      <c r="L64" s="72" t="s">
        <v>481</v>
      </c>
      <c r="M64" s="72" t="s">
        <v>431</v>
      </c>
      <c r="N64" s="72">
        <v>9</v>
      </c>
      <c r="O64" s="72" t="s">
        <v>546</v>
      </c>
      <c r="P64" s="72" t="s">
        <v>369</v>
      </c>
      <c r="AG64" s="72" t="s">
        <v>516</v>
      </c>
      <c r="AH64" s="72" t="s">
        <v>546</v>
      </c>
      <c r="AI64" s="72" t="s">
        <v>502</v>
      </c>
    </row>
    <row r="65" spans="6:35" x14ac:dyDescent="0.4">
      <c r="F65" s="72" t="s">
        <v>620</v>
      </c>
      <c r="G65" s="72" t="s">
        <v>152</v>
      </c>
      <c r="H65" s="72">
        <v>1</v>
      </c>
      <c r="I65" s="72" t="s">
        <v>546</v>
      </c>
      <c r="J65" s="72" t="s">
        <v>363</v>
      </c>
      <c r="L65" s="72" t="s">
        <v>482</v>
      </c>
      <c r="M65" s="72" t="s">
        <v>437</v>
      </c>
      <c r="N65" s="72">
        <v>9</v>
      </c>
      <c r="O65" s="72" t="s">
        <v>546</v>
      </c>
      <c r="P65" s="72" t="s">
        <v>369</v>
      </c>
      <c r="AG65" s="72" t="s">
        <v>517</v>
      </c>
      <c r="AH65" s="72" t="s">
        <v>546</v>
      </c>
      <c r="AI65" s="72" t="s">
        <v>502</v>
      </c>
    </row>
    <row r="66" spans="6:35" x14ac:dyDescent="0.4">
      <c r="F66" s="72" t="s">
        <v>631</v>
      </c>
      <c r="G66" s="72" t="s">
        <v>416</v>
      </c>
      <c r="H66" s="72">
        <v>1</v>
      </c>
      <c r="I66" s="72" t="s">
        <v>546</v>
      </c>
      <c r="J66" s="72" t="s">
        <v>363</v>
      </c>
      <c r="L66" s="72" t="s">
        <v>483</v>
      </c>
      <c r="M66" s="72" t="s">
        <v>456</v>
      </c>
      <c r="N66" s="72">
        <v>9</v>
      </c>
      <c r="O66" s="72" t="s">
        <v>546</v>
      </c>
      <c r="P66" s="72" t="s">
        <v>369</v>
      </c>
      <c r="AG66" s="72" t="s">
        <v>518</v>
      </c>
      <c r="AH66" s="72" t="s">
        <v>546</v>
      </c>
      <c r="AI66" s="72" t="s">
        <v>502</v>
      </c>
    </row>
    <row r="67" spans="6:35" x14ac:dyDescent="0.4">
      <c r="F67" s="72" t="s">
        <v>234</v>
      </c>
      <c r="G67" s="72" t="s">
        <v>150</v>
      </c>
      <c r="H67" s="72">
        <v>1</v>
      </c>
      <c r="I67" s="72" t="s">
        <v>546</v>
      </c>
      <c r="J67" s="72" t="s">
        <v>363</v>
      </c>
      <c r="L67" s="72" t="s">
        <v>484</v>
      </c>
      <c r="M67" s="72" t="s">
        <v>440</v>
      </c>
      <c r="N67" s="72">
        <v>9</v>
      </c>
      <c r="O67" s="72" t="s">
        <v>546</v>
      </c>
      <c r="P67" s="72" t="s">
        <v>369</v>
      </c>
      <c r="AG67" s="72" t="s">
        <v>519</v>
      </c>
      <c r="AH67" s="72" t="s">
        <v>546</v>
      </c>
      <c r="AI67" s="72" t="s">
        <v>502</v>
      </c>
    </row>
    <row r="68" spans="6:35" x14ac:dyDescent="0.4">
      <c r="F68" s="72" t="s">
        <v>680</v>
      </c>
      <c r="G68" s="72" t="s">
        <v>146</v>
      </c>
      <c r="H68" s="72">
        <v>1</v>
      </c>
      <c r="I68" s="72" t="s">
        <v>546</v>
      </c>
      <c r="J68" s="72" t="s">
        <v>363</v>
      </c>
      <c r="L68" s="72" t="s">
        <v>485</v>
      </c>
      <c r="M68" s="72" t="s">
        <v>429</v>
      </c>
      <c r="N68" s="72">
        <v>9</v>
      </c>
      <c r="O68" s="72" t="s">
        <v>546</v>
      </c>
      <c r="P68" s="72" t="s">
        <v>369</v>
      </c>
      <c r="AG68" s="72" t="s">
        <v>520</v>
      </c>
      <c r="AH68" s="72" t="s">
        <v>546</v>
      </c>
      <c r="AI68" s="72" t="s">
        <v>502</v>
      </c>
    </row>
    <row r="69" spans="6:35" x14ac:dyDescent="0.4">
      <c r="F69" s="72" t="s">
        <v>634</v>
      </c>
      <c r="G69" s="72" t="s">
        <v>147</v>
      </c>
      <c r="H69" s="72">
        <v>1</v>
      </c>
      <c r="I69" s="72" t="s">
        <v>546</v>
      </c>
      <c r="J69" s="72" t="s">
        <v>363</v>
      </c>
      <c r="L69" s="72" t="s">
        <v>314</v>
      </c>
      <c r="M69" s="72" t="s">
        <v>193</v>
      </c>
      <c r="N69" s="72">
        <v>9</v>
      </c>
      <c r="O69" s="72" t="s">
        <v>546</v>
      </c>
      <c r="P69" s="72" t="s">
        <v>369</v>
      </c>
      <c r="AG69" s="72" t="s">
        <v>521</v>
      </c>
      <c r="AH69" s="72" t="s">
        <v>546</v>
      </c>
      <c r="AI69" s="72" t="s">
        <v>502</v>
      </c>
    </row>
    <row r="70" spans="6:35" x14ac:dyDescent="0.4">
      <c r="F70" s="72" t="s">
        <v>576</v>
      </c>
      <c r="G70" s="72" t="s">
        <v>151</v>
      </c>
      <c r="H70" s="72">
        <v>1</v>
      </c>
      <c r="I70" s="72" t="s">
        <v>546</v>
      </c>
      <c r="J70" s="72" t="s">
        <v>363</v>
      </c>
      <c r="L70" s="72" t="s">
        <v>698</v>
      </c>
      <c r="M70" s="72" t="s">
        <v>424</v>
      </c>
      <c r="N70" s="72"/>
      <c r="O70" s="72"/>
      <c r="P70" s="72"/>
      <c r="AG70" s="72" t="s">
        <v>522</v>
      </c>
      <c r="AH70" s="72" t="s">
        <v>546</v>
      </c>
      <c r="AI70" s="72" t="s">
        <v>502</v>
      </c>
    </row>
    <row r="71" spans="6:35" x14ac:dyDescent="0.4">
      <c r="F71" s="72" t="s">
        <v>383</v>
      </c>
      <c r="G71" s="72" t="s">
        <v>144</v>
      </c>
      <c r="H71" s="72">
        <v>1</v>
      </c>
      <c r="I71" s="72" t="s">
        <v>546</v>
      </c>
      <c r="J71" s="72" t="s">
        <v>363</v>
      </c>
      <c r="L71" s="72"/>
      <c r="M71" s="72"/>
      <c r="N71" s="72"/>
      <c r="O71" s="72"/>
      <c r="P71" s="72"/>
      <c r="AG71" s="72" t="s">
        <v>523</v>
      </c>
      <c r="AH71" s="72" t="s">
        <v>546</v>
      </c>
      <c r="AI71" s="72" t="s">
        <v>502</v>
      </c>
    </row>
    <row r="72" spans="6:35" x14ac:dyDescent="0.4">
      <c r="F72" s="72" t="s">
        <v>439</v>
      </c>
      <c r="G72" s="72" t="s">
        <v>152</v>
      </c>
      <c r="H72" s="72">
        <v>1</v>
      </c>
      <c r="I72" s="72" t="s">
        <v>546</v>
      </c>
      <c r="J72" s="72" t="s">
        <v>363</v>
      </c>
      <c r="AG72" s="72" t="s">
        <v>524</v>
      </c>
      <c r="AH72" s="72" t="s">
        <v>546</v>
      </c>
      <c r="AI72" s="72" t="s">
        <v>502</v>
      </c>
    </row>
    <row r="73" spans="6:35" x14ac:dyDescent="0.4">
      <c r="F73" s="72" t="s">
        <v>235</v>
      </c>
      <c r="G73" s="72" t="s">
        <v>413</v>
      </c>
      <c r="H73" s="72">
        <v>1</v>
      </c>
      <c r="I73" s="72" t="s">
        <v>546</v>
      </c>
      <c r="J73" s="72" t="s">
        <v>363</v>
      </c>
      <c r="AG73" s="72" t="s">
        <v>525</v>
      </c>
      <c r="AH73" s="72" t="s">
        <v>546</v>
      </c>
      <c r="AI73" s="72" t="s">
        <v>502</v>
      </c>
    </row>
    <row r="74" spans="6:35" x14ac:dyDescent="0.4">
      <c r="F74" s="72" t="s">
        <v>390</v>
      </c>
      <c r="G74" s="72" t="s">
        <v>144</v>
      </c>
      <c r="H74" s="72">
        <v>1</v>
      </c>
      <c r="I74" s="72" t="s">
        <v>546</v>
      </c>
      <c r="J74" s="72" t="s">
        <v>363</v>
      </c>
      <c r="AG74" s="72" t="s">
        <v>526</v>
      </c>
      <c r="AH74" s="72" t="s">
        <v>546</v>
      </c>
      <c r="AI74" s="72" t="s">
        <v>502</v>
      </c>
    </row>
    <row r="75" spans="6:35" x14ac:dyDescent="0.4">
      <c r="F75" s="72" t="s">
        <v>558</v>
      </c>
      <c r="G75" s="72" t="s">
        <v>416</v>
      </c>
      <c r="H75" s="72">
        <v>1</v>
      </c>
      <c r="I75" s="72" t="s">
        <v>546</v>
      </c>
      <c r="J75" s="72" t="s">
        <v>363</v>
      </c>
      <c r="AG75" s="72" t="s">
        <v>527</v>
      </c>
      <c r="AH75" s="72" t="s">
        <v>546</v>
      </c>
      <c r="AI75" s="72" t="s">
        <v>502</v>
      </c>
    </row>
    <row r="76" spans="6:35" x14ac:dyDescent="0.4">
      <c r="F76" s="72" t="s">
        <v>559</v>
      </c>
      <c r="G76" s="72" t="s">
        <v>572</v>
      </c>
      <c r="H76" s="72">
        <v>1</v>
      </c>
      <c r="I76" s="72" t="s">
        <v>546</v>
      </c>
      <c r="J76" s="72" t="s">
        <v>363</v>
      </c>
      <c r="AG76" s="72" t="s">
        <v>552</v>
      </c>
      <c r="AH76" s="72" t="s">
        <v>546</v>
      </c>
      <c r="AI76" s="72" t="s">
        <v>502</v>
      </c>
    </row>
    <row r="77" spans="6:35" x14ac:dyDescent="0.4">
      <c r="F77" s="72" t="s">
        <v>325</v>
      </c>
      <c r="G77" s="72" t="s">
        <v>144</v>
      </c>
      <c r="H77" s="72">
        <v>1</v>
      </c>
      <c r="I77" s="72" t="s">
        <v>546</v>
      </c>
      <c r="J77" s="72" t="s">
        <v>363</v>
      </c>
      <c r="AG77" s="72" t="s">
        <v>627</v>
      </c>
      <c r="AH77" s="72" t="s">
        <v>546</v>
      </c>
      <c r="AI77" s="72" t="s">
        <v>502</v>
      </c>
    </row>
    <row r="78" spans="6:35" x14ac:dyDescent="0.4">
      <c r="F78" s="72" t="s">
        <v>486</v>
      </c>
      <c r="G78" s="72" t="s">
        <v>190</v>
      </c>
      <c r="H78" s="72">
        <v>1</v>
      </c>
      <c r="I78" s="72" t="s">
        <v>546</v>
      </c>
      <c r="J78" s="72" t="s">
        <v>363</v>
      </c>
    </row>
    <row r="79" spans="6:35" x14ac:dyDescent="0.4">
      <c r="F79" s="72" t="s">
        <v>681</v>
      </c>
      <c r="G79" s="72" t="s">
        <v>146</v>
      </c>
      <c r="H79" s="72">
        <v>1</v>
      </c>
      <c r="I79" s="72" t="s">
        <v>546</v>
      </c>
      <c r="J79" s="72" t="s">
        <v>363</v>
      </c>
    </row>
    <row r="80" spans="6:35" x14ac:dyDescent="0.4">
      <c r="F80" s="72" t="s">
        <v>236</v>
      </c>
      <c r="G80" s="72" t="s">
        <v>151</v>
      </c>
      <c r="H80" s="72">
        <v>1</v>
      </c>
      <c r="I80" s="72" t="s">
        <v>546</v>
      </c>
      <c r="J80" s="72" t="s">
        <v>363</v>
      </c>
    </row>
    <row r="81" spans="6:10" x14ac:dyDescent="0.4">
      <c r="F81" s="72" t="s">
        <v>560</v>
      </c>
      <c r="G81" s="72" t="s">
        <v>149</v>
      </c>
      <c r="H81" s="72">
        <v>1</v>
      </c>
      <c r="I81" s="72" t="s">
        <v>546</v>
      </c>
      <c r="J81" s="72" t="s">
        <v>363</v>
      </c>
    </row>
    <row r="82" spans="6:10" x14ac:dyDescent="0.4">
      <c r="F82" s="72" t="s">
        <v>237</v>
      </c>
      <c r="G82" s="72" t="s">
        <v>416</v>
      </c>
      <c r="H82" s="72">
        <v>1</v>
      </c>
      <c r="I82" s="72" t="s">
        <v>546</v>
      </c>
      <c r="J82" s="72" t="s">
        <v>363</v>
      </c>
    </row>
    <row r="83" spans="6:10" x14ac:dyDescent="0.4">
      <c r="F83" s="72" t="s">
        <v>326</v>
      </c>
      <c r="G83" s="72" t="s">
        <v>145</v>
      </c>
      <c r="H83" s="72">
        <v>1</v>
      </c>
      <c r="I83" s="72" t="s">
        <v>546</v>
      </c>
      <c r="J83" s="72" t="s">
        <v>363</v>
      </c>
    </row>
    <row r="84" spans="6:10" x14ac:dyDescent="0.4">
      <c r="F84" s="72" t="s">
        <v>375</v>
      </c>
      <c r="G84" s="72" t="s">
        <v>154</v>
      </c>
      <c r="H84" s="72">
        <v>1</v>
      </c>
      <c r="I84" s="72" t="s">
        <v>546</v>
      </c>
      <c r="J84" s="72" t="s">
        <v>363</v>
      </c>
    </row>
    <row r="85" spans="6:10" x14ac:dyDescent="0.4">
      <c r="F85" s="72" t="s">
        <v>327</v>
      </c>
      <c r="G85" s="72" t="s">
        <v>144</v>
      </c>
      <c r="H85" s="72">
        <v>1</v>
      </c>
      <c r="I85" s="72" t="s">
        <v>546</v>
      </c>
      <c r="J85" s="72" t="s">
        <v>363</v>
      </c>
    </row>
    <row r="86" spans="6:10" x14ac:dyDescent="0.4">
      <c r="F86" s="72" t="s">
        <v>257</v>
      </c>
      <c r="G86" s="72" t="s">
        <v>190</v>
      </c>
      <c r="H86" s="72">
        <v>1</v>
      </c>
      <c r="I86" s="72" t="s">
        <v>546</v>
      </c>
      <c r="J86" s="72" t="s">
        <v>363</v>
      </c>
    </row>
    <row r="87" spans="6:10" x14ac:dyDescent="0.4">
      <c r="F87" s="72" t="s">
        <v>379</v>
      </c>
      <c r="G87" s="72" t="s">
        <v>142</v>
      </c>
      <c r="H87" s="72">
        <v>1</v>
      </c>
      <c r="I87" s="72" t="s">
        <v>546</v>
      </c>
      <c r="J87" s="72" t="s">
        <v>363</v>
      </c>
    </row>
    <row r="88" spans="6:10" x14ac:dyDescent="0.4">
      <c r="F88" s="72" t="s">
        <v>323</v>
      </c>
      <c r="G88" s="72" t="s">
        <v>418</v>
      </c>
      <c r="H88" s="72">
        <v>1</v>
      </c>
      <c r="I88" s="72" t="s">
        <v>546</v>
      </c>
      <c r="J88" s="72" t="s">
        <v>363</v>
      </c>
    </row>
    <row r="89" spans="6:10" x14ac:dyDescent="0.4">
      <c r="F89" s="72" t="s">
        <v>404</v>
      </c>
      <c r="G89" s="72" t="s">
        <v>153</v>
      </c>
      <c r="H89" s="72">
        <v>1</v>
      </c>
      <c r="I89" s="72" t="s">
        <v>546</v>
      </c>
      <c r="J89" s="72" t="s">
        <v>363</v>
      </c>
    </row>
    <row r="90" spans="6:10" x14ac:dyDescent="0.4">
      <c r="F90" s="72" t="s">
        <v>238</v>
      </c>
      <c r="G90" s="72" t="s">
        <v>151</v>
      </c>
      <c r="H90" s="72">
        <v>1</v>
      </c>
      <c r="I90" s="72" t="s">
        <v>546</v>
      </c>
      <c r="J90" s="72" t="s">
        <v>363</v>
      </c>
    </row>
    <row r="91" spans="6:10" x14ac:dyDescent="0.4">
      <c r="F91" s="72" t="s">
        <v>445</v>
      </c>
      <c r="G91" s="72" t="s">
        <v>144</v>
      </c>
      <c r="H91" s="72">
        <v>1</v>
      </c>
      <c r="I91" s="72" t="s">
        <v>546</v>
      </c>
      <c r="J91" s="72" t="s">
        <v>363</v>
      </c>
    </row>
    <row r="92" spans="6:10" x14ac:dyDescent="0.4">
      <c r="F92" s="72" t="s">
        <v>321</v>
      </c>
      <c r="G92" s="72" t="s">
        <v>148</v>
      </c>
      <c r="H92" s="72">
        <v>1</v>
      </c>
      <c r="I92" s="72" t="s">
        <v>546</v>
      </c>
      <c r="J92" s="72" t="s">
        <v>363</v>
      </c>
    </row>
    <row r="93" spans="6:10" x14ac:dyDescent="0.4">
      <c r="F93" s="72" t="s">
        <v>384</v>
      </c>
      <c r="G93" s="72" t="s">
        <v>151</v>
      </c>
      <c r="H93" s="72">
        <v>1</v>
      </c>
      <c r="I93" s="72" t="s">
        <v>546</v>
      </c>
      <c r="J93" s="72" t="s">
        <v>363</v>
      </c>
    </row>
    <row r="94" spans="6:10" x14ac:dyDescent="0.4">
      <c r="F94" s="72" t="s">
        <v>239</v>
      </c>
      <c r="G94" s="72" t="s">
        <v>144</v>
      </c>
      <c r="H94" s="72">
        <v>1</v>
      </c>
      <c r="I94" s="72" t="s">
        <v>546</v>
      </c>
      <c r="J94" s="72" t="s">
        <v>363</v>
      </c>
    </row>
    <row r="95" spans="6:10" x14ac:dyDescent="0.4">
      <c r="F95" s="72" t="s">
        <v>651</v>
      </c>
      <c r="G95" s="72" t="s">
        <v>148</v>
      </c>
      <c r="H95" s="72">
        <v>1</v>
      </c>
      <c r="I95" s="72" t="s">
        <v>546</v>
      </c>
      <c r="J95" s="72" t="s">
        <v>363</v>
      </c>
    </row>
    <row r="96" spans="6:10" x14ac:dyDescent="0.4">
      <c r="F96" s="72" t="s">
        <v>378</v>
      </c>
      <c r="G96" s="72" t="s">
        <v>149</v>
      </c>
      <c r="H96" s="72">
        <v>1</v>
      </c>
      <c r="I96" s="72" t="s">
        <v>546</v>
      </c>
      <c r="J96" s="72" t="s">
        <v>363</v>
      </c>
    </row>
    <row r="97" spans="6:10" x14ac:dyDescent="0.4">
      <c r="F97" s="72" t="s">
        <v>573</v>
      </c>
      <c r="G97" s="72" t="s">
        <v>410</v>
      </c>
      <c r="H97" s="72">
        <v>1</v>
      </c>
      <c r="I97" s="72" t="s">
        <v>546</v>
      </c>
      <c r="J97" s="72" t="s">
        <v>363</v>
      </c>
    </row>
    <row r="98" spans="6:10" x14ac:dyDescent="0.4">
      <c r="F98" s="72" t="s">
        <v>385</v>
      </c>
      <c r="G98" s="72" t="s">
        <v>410</v>
      </c>
      <c r="H98" s="72">
        <v>1</v>
      </c>
      <c r="I98" s="72" t="s">
        <v>546</v>
      </c>
      <c r="J98" s="72" t="s">
        <v>363</v>
      </c>
    </row>
    <row r="99" spans="6:10" x14ac:dyDescent="0.4">
      <c r="F99" s="72" t="s">
        <v>392</v>
      </c>
      <c r="G99" s="72" t="s">
        <v>151</v>
      </c>
      <c r="H99" s="72">
        <v>1</v>
      </c>
      <c r="I99" s="72" t="s">
        <v>546</v>
      </c>
      <c r="J99" s="72" t="s">
        <v>363</v>
      </c>
    </row>
    <row r="100" spans="6:10" x14ac:dyDescent="0.4">
      <c r="F100" s="72" t="s">
        <v>282</v>
      </c>
      <c r="G100" s="72" t="s">
        <v>151</v>
      </c>
      <c r="H100" s="72">
        <v>1</v>
      </c>
      <c r="I100" s="72" t="s">
        <v>546</v>
      </c>
      <c r="J100" s="72" t="s">
        <v>363</v>
      </c>
    </row>
    <row r="101" spans="6:10" x14ac:dyDescent="0.4">
      <c r="F101" s="72" t="s">
        <v>240</v>
      </c>
      <c r="G101" s="72" t="s">
        <v>142</v>
      </c>
      <c r="H101" s="72">
        <v>1</v>
      </c>
      <c r="I101" s="72" t="s">
        <v>546</v>
      </c>
      <c r="J101" s="72" t="s">
        <v>363</v>
      </c>
    </row>
    <row r="102" spans="6:10" x14ac:dyDescent="0.4">
      <c r="F102" s="72" t="s">
        <v>376</v>
      </c>
      <c r="G102" s="72" t="s">
        <v>572</v>
      </c>
      <c r="H102" s="72">
        <v>1</v>
      </c>
      <c r="I102" s="72" t="s">
        <v>546</v>
      </c>
      <c r="J102" s="72" t="s">
        <v>363</v>
      </c>
    </row>
    <row r="103" spans="6:10" x14ac:dyDescent="0.4">
      <c r="F103" s="72" t="s">
        <v>241</v>
      </c>
      <c r="G103" s="72" t="s">
        <v>151</v>
      </c>
      <c r="H103" s="72">
        <v>1</v>
      </c>
      <c r="I103" s="72" t="s">
        <v>546</v>
      </c>
      <c r="J103" s="72" t="s">
        <v>363</v>
      </c>
    </row>
    <row r="104" spans="6:10" x14ac:dyDescent="0.4">
      <c r="F104" s="72" t="s">
        <v>446</v>
      </c>
      <c r="G104" s="72" t="s">
        <v>410</v>
      </c>
      <c r="H104" s="72">
        <v>1</v>
      </c>
      <c r="I104" s="72" t="s">
        <v>546</v>
      </c>
      <c r="J104" s="72" t="s">
        <v>363</v>
      </c>
    </row>
    <row r="105" spans="6:10" x14ac:dyDescent="0.4">
      <c r="F105" s="72" t="s">
        <v>258</v>
      </c>
      <c r="G105" s="72" t="s">
        <v>190</v>
      </c>
      <c r="H105" s="72">
        <v>1</v>
      </c>
      <c r="I105" s="72" t="s">
        <v>546</v>
      </c>
      <c r="J105" s="72" t="s">
        <v>363</v>
      </c>
    </row>
    <row r="106" spans="6:10" x14ac:dyDescent="0.4">
      <c r="F106" s="72" t="s">
        <v>675</v>
      </c>
      <c r="G106" s="72" t="s">
        <v>145</v>
      </c>
      <c r="H106" s="72">
        <v>1</v>
      </c>
      <c r="I106" s="72" t="s">
        <v>546</v>
      </c>
      <c r="J106" s="72" t="s">
        <v>363</v>
      </c>
    </row>
    <row r="107" spans="6:10" x14ac:dyDescent="0.4">
      <c r="F107" s="72" t="s">
        <v>386</v>
      </c>
      <c r="G107" s="72" t="s">
        <v>419</v>
      </c>
      <c r="H107" s="72">
        <v>1</v>
      </c>
      <c r="I107" s="72" t="s">
        <v>546</v>
      </c>
      <c r="J107" s="72" t="s">
        <v>363</v>
      </c>
    </row>
    <row r="108" spans="6:10" x14ac:dyDescent="0.4">
      <c r="F108" s="72" t="s">
        <v>242</v>
      </c>
      <c r="G108" s="72" t="s">
        <v>151</v>
      </c>
      <c r="H108" s="72">
        <v>1</v>
      </c>
      <c r="I108" s="72" t="s">
        <v>546</v>
      </c>
      <c r="J108" s="72" t="s">
        <v>363</v>
      </c>
    </row>
    <row r="109" spans="6:10" x14ac:dyDescent="0.4">
      <c r="F109" s="72" t="s">
        <v>276</v>
      </c>
      <c r="G109" s="72" t="s">
        <v>190</v>
      </c>
      <c r="H109" s="72">
        <v>1</v>
      </c>
      <c r="I109" s="72" t="s">
        <v>546</v>
      </c>
      <c r="J109" s="72" t="s">
        <v>363</v>
      </c>
    </row>
    <row r="110" spans="6:10" x14ac:dyDescent="0.4">
      <c r="F110" s="72" t="s">
        <v>317</v>
      </c>
      <c r="G110" s="72" t="s">
        <v>147</v>
      </c>
      <c r="H110" s="72">
        <v>1</v>
      </c>
      <c r="I110" s="72" t="s">
        <v>546</v>
      </c>
      <c r="J110" s="72" t="s">
        <v>363</v>
      </c>
    </row>
    <row r="111" spans="6:10" x14ac:dyDescent="0.4">
      <c r="F111" s="72" t="s">
        <v>345</v>
      </c>
      <c r="G111" s="72" t="s">
        <v>410</v>
      </c>
      <c r="H111" s="72">
        <v>1</v>
      </c>
      <c r="I111" s="72" t="s">
        <v>546</v>
      </c>
      <c r="J111" s="72" t="s">
        <v>363</v>
      </c>
    </row>
    <row r="112" spans="6:10" x14ac:dyDescent="0.4">
      <c r="F112" s="72" t="s">
        <v>447</v>
      </c>
      <c r="G112" s="72" t="s">
        <v>151</v>
      </c>
      <c r="H112" s="72">
        <v>1</v>
      </c>
      <c r="I112" s="72" t="s">
        <v>546</v>
      </c>
      <c r="J112" s="72" t="s">
        <v>363</v>
      </c>
    </row>
    <row r="113" spans="6:10" x14ac:dyDescent="0.4">
      <c r="F113" s="72" t="s">
        <v>243</v>
      </c>
      <c r="G113" s="72" t="s">
        <v>413</v>
      </c>
      <c r="H113" s="72">
        <v>1</v>
      </c>
      <c r="I113" s="72" t="s">
        <v>546</v>
      </c>
      <c r="J113" s="72" t="s">
        <v>363</v>
      </c>
    </row>
    <row r="114" spans="6:10" x14ac:dyDescent="0.4">
      <c r="F114" s="72" t="s">
        <v>448</v>
      </c>
      <c r="G114" s="72" t="s">
        <v>144</v>
      </c>
      <c r="H114" s="72">
        <v>1</v>
      </c>
      <c r="I114" s="72" t="s">
        <v>546</v>
      </c>
      <c r="J114" s="72" t="s">
        <v>363</v>
      </c>
    </row>
    <row r="115" spans="6:10" x14ac:dyDescent="0.4">
      <c r="F115" s="72" t="s">
        <v>244</v>
      </c>
      <c r="G115" s="72" t="s">
        <v>413</v>
      </c>
      <c r="H115" s="72">
        <v>1</v>
      </c>
      <c r="I115" s="72" t="s">
        <v>546</v>
      </c>
      <c r="J115" s="72" t="s">
        <v>363</v>
      </c>
    </row>
    <row r="116" spans="6:10" x14ac:dyDescent="0.4">
      <c r="F116" s="72" t="s">
        <v>652</v>
      </c>
      <c r="G116" s="72" t="s">
        <v>148</v>
      </c>
      <c r="H116" s="72">
        <v>1</v>
      </c>
      <c r="I116" s="72" t="s">
        <v>546</v>
      </c>
      <c r="J116" s="72" t="s">
        <v>363</v>
      </c>
    </row>
    <row r="117" spans="6:10" x14ac:dyDescent="0.4">
      <c r="F117" s="72" t="s">
        <v>449</v>
      </c>
      <c r="G117" s="72" t="s">
        <v>149</v>
      </c>
      <c r="H117" s="72">
        <v>1</v>
      </c>
      <c r="I117" s="72" t="s">
        <v>546</v>
      </c>
      <c r="J117" s="72" t="s">
        <v>363</v>
      </c>
    </row>
    <row r="118" spans="6:10" x14ac:dyDescent="0.4">
      <c r="F118" s="72" t="s">
        <v>245</v>
      </c>
      <c r="G118" s="72" t="s">
        <v>142</v>
      </c>
      <c r="H118" s="72">
        <v>1</v>
      </c>
      <c r="I118" s="72" t="s">
        <v>546</v>
      </c>
      <c r="J118" s="72" t="s">
        <v>363</v>
      </c>
    </row>
    <row r="119" spans="6:10" x14ac:dyDescent="0.4">
      <c r="F119" s="72" t="s">
        <v>391</v>
      </c>
      <c r="G119" s="72" t="s">
        <v>145</v>
      </c>
      <c r="H119" s="72">
        <v>1</v>
      </c>
      <c r="I119" s="72" t="s">
        <v>546</v>
      </c>
      <c r="J119" s="72" t="s">
        <v>363</v>
      </c>
    </row>
    <row r="120" spans="6:10" x14ac:dyDescent="0.4">
      <c r="F120" s="72" t="s">
        <v>669</v>
      </c>
      <c r="G120" s="72" t="s">
        <v>148</v>
      </c>
      <c r="H120" s="72">
        <v>1</v>
      </c>
      <c r="I120" s="72" t="s">
        <v>546</v>
      </c>
      <c r="J120" s="72" t="s">
        <v>363</v>
      </c>
    </row>
    <row r="121" spans="6:10" x14ac:dyDescent="0.4">
      <c r="F121" s="72" t="s">
        <v>259</v>
      </c>
      <c r="G121" s="72" t="s">
        <v>190</v>
      </c>
      <c r="H121" s="72">
        <v>1</v>
      </c>
      <c r="I121" s="72" t="s">
        <v>546</v>
      </c>
      <c r="J121" s="72" t="s">
        <v>363</v>
      </c>
    </row>
    <row r="122" spans="6:10" x14ac:dyDescent="0.4">
      <c r="F122" s="72" t="s">
        <v>561</v>
      </c>
      <c r="G122" s="72" t="s">
        <v>144</v>
      </c>
      <c r="H122" s="72">
        <v>1</v>
      </c>
      <c r="I122" s="72" t="s">
        <v>546</v>
      </c>
      <c r="J122" s="72" t="s">
        <v>363</v>
      </c>
    </row>
    <row r="123" spans="6:10" x14ac:dyDescent="0.4">
      <c r="F123" s="72" t="s">
        <v>246</v>
      </c>
      <c r="G123" s="72" t="s">
        <v>142</v>
      </c>
      <c r="H123" s="72">
        <v>1</v>
      </c>
      <c r="I123" s="72" t="s">
        <v>546</v>
      </c>
      <c r="J123" s="72" t="s">
        <v>363</v>
      </c>
    </row>
    <row r="124" spans="6:10" x14ac:dyDescent="0.4">
      <c r="F124" s="72" t="s">
        <v>247</v>
      </c>
      <c r="G124" s="72" t="s">
        <v>154</v>
      </c>
      <c r="H124" s="72">
        <v>1</v>
      </c>
      <c r="I124" s="72" t="s">
        <v>546</v>
      </c>
      <c r="J124" s="72" t="s">
        <v>363</v>
      </c>
    </row>
    <row r="125" spans="6:10" x14ac:dyDescent="0.4">
      <c r="F125" s="72" t="s">
        <v>331</v>
      </c>
      <c r="G125" s="72" t="s">
        <v>151</v>
      </c>
      <c r="H125" s="72">
        <v>1</v>
      </c>
      <c r="I125" s="72" t="s">
        <v>546</v>
      </c>
      <c r="J125" s="72" t="s">
        <v>363</v>
      </c>
    </row>
    <row r="126" spans="6:10" x14ac:dyDescent="0.4">
      <c r="F126" s="72" t="s">
        <v>366</v>
      </c>
      <c r="G126" s="72" t="s">
        <v>408</v>
      </c>
      <c r="H126" s="72">
        <v>1</v>
      </c>
      <c r="I126" s="72" t="s">
        <v>546</v>
      </c>
      <c r="J126" s="72" t="s">
        <v>363</v>
      </c>
    </row>
    <row r="127" spans="6:10" x14ac:dyDescent="0.4">
      <c r="F127" s="72" t="s">
        <v>265</v>
      </c>
      <c r="G127" s="72" t="s">
        <v>144</v>
      </c>
      <c r="H127" s="72">
        <v>1</v>
      </c>
      <c r="I127" s="72" t="s">
        <v>546</v>
      </c>
      <c r="J127" s="72" t="s">
        <v>363</v>
      </c>
    </row>
    <row r="128" spans="6:10" x14ac:dyDescent="0.4">
      <c r="F128" s="72" t="s">
        <v>248</v>
      </c>
      <c r="G128" s="72" t="s">
        <v>144</v>
      </c>
      <c r="H128" s="72">
        <v>1</v>
      </c>
      <c r="I128" s="72" t="s">
        <v>546</v>
      </c>
      <c r="J128" s="72" t="s">
        <v>363</v>
      </c>
    </row>
    <row r="129" spans="6:10" x14ac:dyDescent="0.4">
      <c r="F129" s="72" t="s">
        <v>328</v>
      </c>
      <c r="G129" s="72" t="s">
        <v>144</v>
      </c>
      <c r="H129" s="72">
        <v>1</v>
      </c>
      <c r="I129" s="72" t="s">
        <v>546</v>
      </c>
      <c r="J129" s="72" t="s">
        <v>363</v>
      </c>
    </row>
    <row r="130" spans="6:10" x14ac:dyDescent="0.4">
      <c r="F130" s="72" t="s">
        <v>574</v>
      </c>
      <c r="G130" s="72" t="s">
        <v>152</v>
      </c>
      <c r="H130" s="72">
        <v>1</v>
      </c>
      <c r="I130" s="72" t="s">
        <v>546</v>
      </c>
      <c r="J130" s="72" t="s">
        <v>363</v>
      </c>
    </row>
    <row r="131" spans="6:10" x14ac:dyDescent="0.4">
      <c r="F131" s="72" t="s">
        <v>575</v>
      </c>
      <c r="G131" s="72" t="s">
        <v>145</v>
      </c>
      <c r="H131" s="72">
        <v>1</v>
      </c>
      <c r="I131" s="72" t="s">
        <v>546</v>
      </c>
      <c r="J131" s="72" t="s">
        <v>363</v>
      </c>
    </row>
    <row r="132" spans="6:10" x14ac:dyDescent="0.4">
      <c r="F132" s="72" t="s">
        <v>570</v>
      </c>
      <c r="G132" s="72" t="s">
        <v>144</v>
      </c>
      <c r="H132" s="72">
        <v>1</v>
      </c>
      <c r="I132" s="72" t="s">
        <v>546</v>
      </c>
      <c r="J132" s="72" t="s">
        <v>363</v>
      </c>
    </row>
    <row r="133" spans="6:10" x14ac:dyDescent="0.4">
      <c r="F133" s="72" t="s">
        <v>249</v>
      </c>
      <c r="G133" s="72" t="s">
        <v>145</v>
      </c>
      <c r="H133" s="72">
        <v>1</v>
      </c>
      <c r="I133" s="72" t="s">
        <v>546</v>
      </c>
      <c r="J133" s="72" t="s">
        <v>363</v>
      </c>
    </row>
    <row r="134" spans="6:10" x14ac:dyDescent="0.4">
      <c r="F134" s="72" t="s">
        <v>656</v>
      </c>
      <c r="G134" s="72" t="s">
        <v>146</v>
      </c>
      <c r="H134" s="72">
        <v>1</v>
      </c>
      <c r="I134" s="72" t="s">
        <v>546</v>
      </c>
      <c r="J134" s="72" t="s">
        <v>363</v>
      </c>
    </row>
    <row r="135" spans="6:10" x14ac:dyDescent="0.4">
      <c r="F135" s="72" t="s">
        <v>349</v>
      </c>
      <c r="G135" s="72" t="s">
        <v>149</v>
      </c>
      <c r="H135" s="72">
        <v>1</v>
      </c>
      <c r="I135" s="72" t="s">
        <v>546</v>
      </c>
      <c r="J135" s="72" t="s">
        <v>363</v>
      </c>
    </row>
    <row r="136" spans="6:10" x14ac:dyDescent="0.4">
      <c r="F136" s="72" t="s">
        <v>632</v>
      </c>
      <c r="G136" s="72" t="s">
        <v>410</v>
      </c>
      <c r="H136" s="72">
        <v>1</v>
      </c>
      <c r="I136" s="72" t="s">
        <v>546</v>
      </c>
      <c r="J136" s="72" t="s">
        <v>363</v>
      </c>
    </row>
    <row r="137" spans="6:10" x14ac:dyDescent="0.4">
      <c r="F137" s="72" t="s">
        <v>387</v>
      </c>
      <c r="G137" s="72" t="s">
        <v>416</v>
      </c>
      <c r="H137" s="72">
        <v>1</v>
      </c>
      <c r="I137" s="72" t="s">
        <v>546</v>
      </c>
      <c r="J137" s="72" t="s">
        <v>363</v>
      </c>
    </row>
    <row r="138" spans="6:10" x14ac:dyDescent="0.4">
      <c r="F138" s="72" t="s">
        <v>367</v>
      </c>
      <c r="G138" s="72" t="s">
        <v>416</v>
      </c>
      <c r="H138" s="72">
        <v>1</v>
      </c>
      <c r="I138" s="72" t="s">
        <v>546</v>
      </c>
      <c r="J138" s="72" t="s">
        <v>363</v>
      </c>
    </row>
    <row r="139" spans="6:10" x14ac:dyDescent="0.4">
      <c r="F139" s="72" t="s">
        <v>260</v>
      </c>
      <c r="G139" s="72" t="s">
        <v>190</v>
      </c>
      <c r="H139" s="72">
        <v>1</v>
      </c>
      <c r="I139" s="72" t="s">
        <v>546</v>
      </c>
      <c r="J139" s="72" t="s">
        <v>363</v>
      </c>
    </row>
    <row r="140" spans="6:10" x14ac:dyDescent="0.4">
      <c r="F140" s="72" t="s">
        <v>562</v>
      </c>
      <c r="G140" s="72" t="s">
        <v>149</v>
      </c>
      <c r="H140" s="72">
        <v>1</v>
      </c>
      <c r="I140" s="72" t="s">
        <v>546</v>
      </c>
      <c r="J140" s="72" t="s">
        <v>363</v>
      </c>
    </row>
    <row r="141" spans="6:10" x14ac:dyDescent="0.4">
      <c r="F141" s="72" t="s">
        <v>563</v>
      </c>
      <c r="G141" s="72" t="s">
        <v>149</v>
      </c>
      <c r="H141" s="72">
        <v>1</v>
      </c>
      <c r="I141" s="72" t="s">
        <v>546</v>
      </c>
      <c r="J141" s="72" t="s">
        <v>363</v>
      </c>
    </row>
    <row r="142" spans="6:10" x14ac:dyDescent="0.4">
      <c r="F142" s="72" t="s">
        <v>670</v>
      </c>
      <c r="G142" s="72" t="s">
        <v>671</v>
      </c>
      <c r="H142" s="72">
        <v>1</v>
      </c>
      <c r="I142" s="72" t="s">
        <v>546</v>
      </c>
      <c r="J142" s="72" t="s">
        <v>363</v>
      </c>
    </row>
    <row r="143" spans="6:10" x14ac:dyDescent="0.4">
      <c r="F143" s="72" t="s">
        <v>250</v>
      </c>
      <c r="G143" s="72" t="s">
        <v>151</v>
      </c>
      <c r="H143" s="72">
        <v>1</v>
      </c>
      <c r="I143" s="72" t="s">
        <v>546</v>
      </c>
      <c r="J143" s="72" t="s">
        <v>363</v>
      </c>
    </row>
    <row r="144" spans="6:10" x14ac:dyDescent="0.4">
      <c r="F144" s="72" t="s">
        <v>261</v>
      </c>
      <c r="G144" s="72" t="s">
        <v>190</v>
      </c>
      <c r="H144" s="72">
        <v>1</v>
      </c>
      <c r="I144" s="72" t="s">
        <v>546</v>
      </c>
      <c r="J144" s="72" t="s">
        <v>363</v>
      </c>
    </row>
    <row r="145" spans="6:10" x14ac:dyDescent="0.4">
      <c r="F145" s="72" t="s">
        <v>450</v>
      </c>
      <c r="G145" s="72" t="s">
        <v>148</v>
      </c>
      <c r="H145" s="72">
        <v>1</v>
      </c>
      <c r="I145" s="72" t="s">
        <v>546</v>
      </c>
      <c r="J145" s="72" t="s">
        <v>363</v>
      </c>
    </row>
    <row r="146" spans="6:10" x14ac:dyDescent="0.4">
      <c r="F146" s="72" t="s">
        <v>653</v>
      </c>
      <c r="G146" s="72" t="s">
        <v>146</v>
      </c>
      <c r="H146" s="72">
        <v>1</v>
      </c>
      <c r="I146" s="72" t="s">
        <v>546</v>
      </c>
      <c r="J146" s="72" t="s">
        <v>363</v>
      </c>
    </row>
    <row r="147" spans="6:10" x14ac:dyDescent="0.4">
      <c r="F147" s="72" t="s">
        <v>451</v>
      </c>
      <c r="G147" s="72" t="s">
        <v>146</v>
      </c>
      <c r="H147" s="72">
        <v>9</v>
      </c>
      <c r="I147" s="72" t="s">
        <v>546</v>
      </c>
      <c r="J147" s="72" t="s">
        <v>363</v>
      </c>
    </row>
    <row r="148" spans="6:10" x14ac:dyDescent="0.4">
      <c r="F148" s="72" t="s">
        <v>452</v>
      </c>
      <c r="G148" s="72" t="s">
        <v>152</v>
      </c>
      <c r="H148" s="72">
        <v>9</v>
      </c>
      <c r="I148" s="72" t="s">
        <v>546</v>
      </c>
      <c r="J148" s="72" t="s">
        <v>363</v>
      </c>
    </row>
    <row r="149" spans="6:10" x14ac:dyDescent="0.4">
      <c r="F149" s="72" t="s">
        <v>332</v>
      </c>
      <c r="G149" s="72" t="s">
        <v>153</v>
      </c>
      <c r="H149" s="72">
        <v>9</v>
      </c>
      <c r="I149" s="72" t="s">
        <v>546</v>
      </c>
      <c r="J149" s="72" t="s">
        <v>363</v>
      </c>
    </row>
    <row r="150" spans="6:10" x14ac:dyDescent="0.4">
      <c r="F150" s="72" t="s">
        <v>333</v>
      </c>
      <c r="G150" s="72" t="s">
        <v>147</v>
      </c>
      <c r="H150" s="72">
        <v>9</v>
      </c>
      <c r="I150" s="72" t="s">
        <v>546</v>
      </c>
      <c r="J150" s="72" t="s">
        <v>363</v>
      </c>
    </row>
    <row r="151" spans="6:10" x14ac:dyDescent="0.4">
      <c r="F151" s="72" t="s">
        <v>334</v>
      </c>
      <c r="G151" s="72" t="s">
        <v>142</v>
      </c>
      <c r="H151" s="72">
        <v>9</v>
      </c>
      <c r="I151" s="72" t="s">
        <v>546</v>
      </c>
      <c r="J151" s="72" t="s">
        <v>363</v>
      </c>
    </row>
    <row r="152" spans="6:10" x14ac:dyDescent="0.4">
      <c r="F152" s="72" t="s">
        <v>487</v>
      </c>
      <c r="G152" s="72" t="s">
        <v>419</v>
      </c>
      <c r="H152" s="72">
        <v>9</v>
      </c>
      <c r="I152" s="72" t="s">
        <v>546</v>
      </c>
      <c r="J152" s="72" t="s">
        <v>363</v>
      </c>
    </row>
    <row r="153" spans="6:10" x14ac:dyDescent="0.4">
      <c r="F153" s="72" t="s">
        <v>488</v>
      </c>
      <c r="G153" s="72" t="s">
        <v>413</v>
      </c>
      <c r="H153" s="72">
        <v>9</v>
      </c>
      <c r="I153" s="72" t="s">
        <v>546</v>
      </c>
      <c r="J153" s="72" t="s">
        <v>363</v>
      </c>
    </row>
    <row r="154" spans="6:10" x14ac:dyDescent="0.4">
      <c r="F154" s="72" t="s">
        <v>368</v>
      </c>
      <c r="G154" s="72" t="s">
        <v>361</v>
      </c>
      <c r="H154" s="72">
        <v>9</v>
      </c>
      <c r="I154" s="72" t="s">
        <v>546</v>
      </c>
      <c r="J154" s="72" t="s">
        <v>363</v>
      </c>
    </row>
    <row r="155" spans="6:10" x14ac:dyDescent="0.4">
      <c r="F155" s="72" t="s">
        <v>335</v>
      </c>
      <c r="G155" s="72" t="s">
        <v>145</v>
      </c>
      <c r="H155" s="72">
        <v>9</v>
      </c>
      <c r="I155" s="72" t="s">
        <v>546</v>
      </c>
      <c r="J155" s="72" t="s">
        <v>363</v>
      </c>
    </row>
    <row r="156" spans="6:10" x14ac:dyDescent="0.4">
      <c r="F156" s="72" t="s">
        <v>336</v>
      </c>
      <c r="G156" s="72" t="s">
        <v>144</v>
      </c>
      <c r="H156" s="72">
        <v>9</v>
      </c>
      <c r="I156" s="72" t="s">
        <v>546</v>
      </c>
      <c r="J156" s="72" t="s">
        <v>363</v>
      </c>
    </row>
    <row r="157" spans="6:10" x14ac:dyDescent="0.4">
      <c r="F157" s="72" t="s">
        <v>337</v>
      </c>
      <c r="G157" s="72" t="s">
        <v>154</v>
      </c>
      <c r="H157" s="72">
        <v>9</v>
      </c>
      <c r="I157" s="72" t="s">
        <v>546</v>
      </c>
      <c r="J157" s="72" t="s">
        <v>363</v>
      </c>
    </row>
    <row r="158" spans="6:10" x14ac:dyDescent="0.4">
      <c r="F158" s="72" t="s">
        <v>338</v>
      </c>
      <c r="G158" s="72" t="s">
        <v>190</v>
      </c>
      <c r="H158" s="72">
        <v>9</v>
      </c>
      <c r="I158" s="72" t="s">
        <v>546</v>
      </c>
      <c r="J158" s="72" t="s">
        <v>363</v>
      </c>
    </row>
    <row r="159" spans="6:10" x14ac:dyDescent="0.4">
      <c r="F159" s="72" t="s">
        <v>489</v>
      </c>
      <c r="G159" s="72" t="s">
        <v>412</v>
      </c>
      <c r="H159" s="72">
        <v>9</v>
      </c>
      <c r="I159" s="72" t="s">
        <v>546</v>
      </c>
      <c r="J159" s="72" t="s">
        <v>363</v>
      </c>
    </row>
    <row r="160" spans="6:10" x14ac:dyDescent="0.4">
      <c r="F160" s="72" t="s">
        <v>490</v>
      </c>
      <c r="G160" s="72" t="s">
        <v>416</v>
      </c>
      <c r="H160" s="72">
        <v>9</v>
      </c>
      <c r="I160" s="72" t="s">
        <v>546</v>
      </c>
      <c r="J160" s="72" t="s">
        <v>363</v>
      </c>
    </row>
    <row r="161" spans="6:10" x14ac:dyDescent="0.4">
      <c r="F161" s="72" t="s">
        <v>339</v>
      </c>
      <c r="G161" s="72" t="s">
        <v>148</v>
      </c>
      <c r="H161" s="72">
        <v>9</v>
      </c>
      <c r="I161" s="72" t="s">
        <v>546</v>
      </c>
      <c r="J161" s="72" t="s">
        <v>363</v>
      </c>
    </row>
    <row r="162" spans="6:10" x14ac:dyDescent="0.4">
      <c r="F162" s="72" t="s">
        <v>340</v>
      </c>
      <c r="G162" s="72" t="s">
        <v>149</v>
      </c>
      <c r="H162" s="72">
        <v>9</v>
      </c>
      <c r="I162" s="72" t="s">
        <v>546</v>
      </c>
      <c r="J162" s="72" t="s">
        <v>363</v>
      </c>
    </row>
    <row r="163" spans="6:10" x14ac:dyDescent="0.4">
      <c r="F163" s="72" t="s">
        <v>341</v>
      </c>
      <c r="G163" s="72" t="s">
        <v>150</v>
      </c>
      <c r="H163" s="72">
        <v>9</v>
      </c>
      <c r="I163" s="72" t="s">
        <v>546</v>
      </c>
      <c r="J163" s="72" t="s">
        <v>363</v>
      </c>
    </row>
    <row r="164" spans="6:10" x14ac:dyDescent="0.4">
      <c r="F164" s="72" t="s">
        <v>491</v>
      </c>
      <c r="G164" s="72" t="s">
        <v>151</v>
      </c>
      <c r="H164" s="72">
        <v>9</v>
      </c>
      <c r="I164" s="72" t="s">
        <v>546</v>
      </c>
      <c r="J164" s="72" t="s">
        <v>363</v>
      </c>
    </row>
    <row r="165" spans="6:10" x14ac:dyDescent="0.4">
      <c r="F165" s="72" t="s">
        <v>492</v>
      </c>
      <c r="G165" s="72" t="s">
        <v>409</v>
      </c>
      <c r="H165" s="72">
        <v>9</v>
      </c>
      <c r="I165" s="72" t="s">
        <v>546</v>
      </c>
      <c r="J165" s="72" t="s">
        <v>363</v>
      </c>
    </row>
    <row r="166" spans="6:10" x14ac:dyDescent="0.4">
      <c r="F166" s="72" t="s">
        <v>493</v>
      </c>
      <c r="G166" s="72" t="s">
        <v>408</v>
      </c>
      <c r="H166" s="72">
        <v>9</v>
      </c>
      <c r="I166" s="72" t="s">
        <v>546</v>
      </c>
      <c r="J166" s="72" t="s">
        <v>363</v>
      </c>
    </row>
    <row r="167" spans="6:10" x14ac:dyDescent="0.4">
      <c r="F167" s="72" t="s">
        <v>494</v>
      </c>
      <c r="G167" s="72" t="s">
        <v>415</v>
      </c>
      <c r="H167" s="72">
        <v>9</v>
      </c>
      <c r="I167" s="72" t="s">
        <v>546</v>
      </c>
      <c r="J167" s="72" t="s">
        <v>363</v>
      </c>
    </row>
    <row r="168" spans="6:10" x14ac:dyDescent="0.4">
      <c r="F168" s="72" t="s">
        <v>495</v>
      </c>
      <c r="G168" s="72" t="s">
        <v>417</v>
      </c>
      <c r="H168" s="72">
        <v>9</v>
      </c>
      <c r="I168" s="72" t="s">
        <v>546</v>
      </c>
      <c r="J168" s="72" t="s">
        <v>363</v>
      </c>
    </row>
    <row r="169" spans="6:10" x14ac:dyDescent="0.4">
      <c r="F169" s="72" t="s">
        <v>496</v>
      </c>
      <c r="G169" s="72" t="s">
        <v>418</v>
      </c>
      <c r="H169" s="72">
        <v>9</v>
      </c>
      <c r="I169" s="72" t="s">
        <v>546</v>
      </c>
      <c r="J169" s="72" t="s">
        <v>363</v>
      </c>
    </row>
    <row r="170" spans="6:10" x14ac:dyDescent="0.4">
      <c r="F170" s="72" t="s">
        <v>497</v>
      </c>
      <c r="G170" s="72" t="s">
        <v>410</v>
      </c>
      <c r="H170" s="72">
        <v>9</v>
      </c>
      <c r="I170" s="72" t="s">
        <v>546</v>
      </c>
      <c r="J170" s="72" t="s">
        <v>363</v>
      </c>
    </row>
    <row r="171" spans="6:10" x14ac:dyDescent="0.4">
      <c r="F171" s="72"/>
      <c r="G171" s="72"/>
      <c r="H171" s="72"/>
      <c r="I171" s="72"/>
      <c r="J171" s="72"/>
    </row>
    <row r="172" spans="6:10" x14ac:dyDescent="0.4">
      <c r="F172" s="72"/>
      <c r="G172" s="72"/>
      <c r="H172" s="72"/>
      <c r="I172" s="72"/>
      <c r="J172" s="72"/>
    </row>
    <row r="173" spans="6:10" x14ac:dyDescent="0.4">
      <c r="F173" s="72"/>
      <c r="G173" s="72"/>
      <c r="H173" s="72"/>
      <c r="I173" s="72"/>
      <c r="J173" s="72"/>
    </row>
    <row r="174" spans="6:10" x14ac:dyDescent="0.4">
      <c r="F174" s="72"/>
      <c r="G174" s="72"/>
      <c r="H174" s="72"/>
      <c r="I174" s="72"/>
      <c r="J174" s="72"/>
    </row>
    <row r="175" spans="6:10" x14ac:dyDescent="0.4">
      <c r="F175" s="72"/>
      <c r="G175" s="72"/>
      <c r="H175" s="72"/>
      <c r="I175" s="72"/>
      <c r="J175" s="72"/>
    </row>
    <row r="176" spans="6:10" x14ac:dyDescent="0.4">
      <c r="F176" s="72"/>
      <c r="G176" s="72"/>
      <c r="H176" s="72"/>
      <c r="I176" s="72"/>
      <c r="J176" s="72"/>
    </row>
    <row r="177" spans="6:10" x14ac:dyDescent="0.4">
      <c r="F177" s="72"/>
      <c r="G177" s="72"/>
      <c r="H177" s="72"/>
      <c r="I177" s="72"/>
      <c r="J177" s="72"/>
    </row>
    <row r="178" spans="6:10" x14ac:dyDescent="0.4">
      <c r="F178" s="72"/>
      <c r="G178" s="72"/>
      <c r="H178" s="72"/>
      <c r="I178" s="72"/>
      <c r="J178" s="72"/>
    </row>
  </sheetData>
  <sheetProtection algorithmName="SHA-512" hashValue="iyiu6ewmmGaixGFZed+BqvO1wLyqRghG6rSncHqkNFxu2mz2i3gf+hjzUeMNSFbz9Z4LrOSrNlKr1rU7zlWUDg==" saltValue="o6k7NQbtYtZleMr1bIktdQ==" spinCount="100000" sheet="1" objects="1" scenarios="1" selectLockedCells="1" selectUnlockedCells="1"/>
  <phoneticPr fontId="2" type="noConversion"/>
  <pageMargins left="0.75" right="0.75" top="1" bottom="1" header="0.5" footer="0.5"/>
  <pageSetup orientation="portrait" horizontalDpi="300" verticalDpi="300" r:id="rId1"/>
  <headerFooter alignWithMargins="0"/>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A61"/>
  <sheetViews>
    <sheetView workbookViewId="0">
      <selection activeCell="B4" sqref="B4"/>
    </sheetView>
  </sheetViews>
  <sheetFormatPr defaultColWidth="8.703125" defaultRowHeight="12.7" x14ac:dyDescent="0.4"/>
  <cols>
    <col min="1" max="1" width="14.41015625" bestFit="1" customWidth="1"/>
    <col min="2" max="3" width="17.703125" style="47" bestFit="1" customWidth="1"/>
    <col min="4" max="6" width="18.703125" style="47" bestFit="1" customWidth="1"/>
    <col min="7" max="7" width="17.41015625" style="47" bestFit="1" customWidth="1"/>
    <col min="8" max="10" width="18.703125" style="47" bestFit="1" customWidth="1"/>
    <col min="11" max="11" width="15.703125" style="47" bestFit="1" customWidth="1"/>
    <col min="12" max="15" width="17" style="47" bestFit="1" customWidth="1"/>
    <col min="16" max="16" width="16.703125" style="47" bestFit="1" customWidth="1"/>
    <col min="17" max="19" width="18.1171875" style="47" bestFit="1" customWidth="1"/>
    <col min="20" max="20" width="14.1171875" style="47" bestFit="1" customWidth="1"/>
    <col min="21" max="23" width="15.29296875" style="47" bestFit="1" customWidth="1"/>
    <col min="24" max="24" width="12.703125" style="47" bestFit="1" customWidth="1"/>
    <col min="25" max="27" width="14.1171875" style="47" bestFit="1" customWidth="1"/>
    <col min="28" max="29" width="12" style="47" bestFit="1" customWidth="1"/>
    <col min="30" max="32" width="13.29296875" style="47" bestFit="1" customWidth="1"/>
    <col min="33" max="33" width="12.703125" style="47" bestFit="1" customWidth="1"/>
    <col min="34" max="36" width="14.1171875" style="47" bestFit="1" customWidth="1"/>
    <col min="37" max="37" width="12.29296875" style="47" bestFit="1" customWidth="1"/>
    <col min="38" max="40" width="13.41015625" style="47" bestFit="1" customWidth="1"/>
    <col min="41" max="42" width="14.703125" style="47" bestFit="1" customWidth="1"/>
    <col min="43" max="45" width="15.703125" style="47" bestFit="1" customWidth="1"/>
    <col min="46" max="46" width="18.29296875" style="47" bestFit="1" customWidth="1"/>
    <col min="47" max="49" width="19.41015625" style="47" bestFit="1" customWidth="1"/>
    <col min="50" max="51" width="17.41015625" style="47" bestFit="1" customWidth="1"/>
    <col min="52" max="53" width="18.703125" style="47" bestFit="1" customWidth="1"/>
  </cols>
  <sheetData>
    <row r="1" spans="1:53" ht="12.75" customHeight="1" x14ac:dyDescent="0.4">
      <c r="A1" s="350" t="str">
        <f>'T&amp;M'!C6</f>
        <v>Employee Name</v>
      </c>
      <c r="B1" s="348">
        <f>'T&amp;M'!M5</f>
        <v>43017</v>
      </c>
      <c r="C1" s="348">
        <f>'T&amp;M'!N5</f>
        <v>43024</v>
      </c>
      <c r="D1" s="348">
        <f>'T&amp;M'!O5</f>
        <v>43031</v>
      </c>
      <c r="E1" s="348">
        <f>'T&amp;M'!P5</f>
        <v>43038</v>
      </c>
      <c r="F1" s="348">
        <f>'T&amp;M'!Q5</f>
        <v>43045</v>
      </c>
      <c r="G1" s="348">
        <f>'T&amp;M'!R5</f>
        <v>43052</v>
      </c>
      <c r="H1" s="348">
        <f>'T&amp;M'!S5</f>
        <v>43059</v>
      </c>
      <c r="I1" s="348">
        <f>'T&amp;M'!T5</f>
        <v>43066</v>
      </c>
      <c r="J1" s="348">
        <f>'T&amp;M'!U5</f>
        <v>43073</v>
      </c>
      <c r="K1" s="348">
        <f>'T&amp;M'!V5</f>
        <v>43080</v>
      </c>
      <c r="L1" s="348">
        <f>'T&amp;M'!W5</f>
        <v>43087</v>
      </c>
      <c r="M1" s="348">
        <f>'T&amp;M'!X5</f>
        <v>43094</v>
      </c>
      <c r="N1" s="348">
        <f>'T&amp;M'!Y5</f>
        <v>43101</v>
      </c>
      <c r="O1" s="348">
        <f>'T&amp;M'!Z5</f>
        <v>43108</v>
      </c>
      <c r="P1" s="348">
        <f>'T&amp;M'!AA5</f>
        <v>43115</v>
      </c>
      <c r="Q1" s="348">
        <f>'T&amp;M'!AB5</f>
        <v>43122</v>
      </c>
      <c r="R1" s="348">
        <f>'T&amp;M'!AC5</f>
        <v>43129</v>
      </c>
      <c r="S1" s="348">
        <f>'T&amp;M'!AD5</f>
        <v>43136</v>
      </c>
      <c r="T1" s="348">
        <f>'T&amp;M'!AE5</f>
        <v>43143</v>
      </c>
      <c r="U1" s="348">
        <f>'T&amp;M'!AF5</f>
        <v>43150</v>
      </c>
      <c r="V1" s="348">
        <f>'T&amp;M'!AG5</f>
        <v>43157</v>
      </c>
      <c r="W1" s="348">
        <f>'T&amp;M'!AH5</f>
        <v>43164</v>
      </c>
      <c r="X1" s="348">
        <f>'T&amp;M'!AI5</f>
        <v>43171</v>
      </c>
      <c r="Y1" s="348">
        <f>'T&amp;M'!AJ5</f>
        <v>43178</v>
      </c>
      <c r="Z1" s="348">
        <f>'T&amp;M'!AK5</f>
        <v>43185</v>
      </c>
      <c r="AA1" s="348">
        <f>'T&amp;M'!AL5</f>
        <v>43192</v>
      </c>
      <c r="AB1" s="348">
        <f>'T&amp;M'!AM5</f>
        <v>43199</v>
      </c>
      <c r="AC1" s="348">
        <f>'T&amp;M'!AN5</f>
        <v>43206</v>
      </c>
      <c r="AD1" s="348">
        <f>'T&amp;M'!AO5</f>
        <v>43213</v>
      </c>
      <c r="AE1" s="348">
        <f>'T&amp;M'!AP5</f>
        <v>43220</v>
      </c>
      <c r="AF1" s="348">
        <f>'T&amp;M'!AQ5</f>
        <v>43227</v>
      </c>
      <c r="AG1" s="348">
        <f>'T&amp;M'!AR5</f>
        <v>43234</v>
      </c>
      <c r="AH1" s="348">
        <f>'T&amp;M'!AS5</f>
        <v>43241</v>
      </c>
      <c r="AI1" s="348">
        <f>'T&amp;M'!AT5</f>
        <v>43248</v>
      </c>
      <c r="AJ1" s="348">
        <f>'T&amp;M'!AU5</f>
        <v>43255</v>
      </c>
      <c r="AK1" s="348">
        <f>'T&amp;M'!AV5</f>
        <v>43262</v>
      </c>
      <c r="AL1" s="348">
        <f>'T&amp;M'!AW5</f>
        <v>43269</v>
      </c>
      <c r="AM1" s="348">
        <f>'T&amp;M'!AX5</f>
        <v>43276</v>
      </c>
      <c r="AN1" s="348">
        <f>'T&amp;M'!AY5</f>
        <v>43283</v>
      </c>
      <c r="AO1" s="348">
        <f>'T&amp;M'!AZ5</f>
        <v>43290</v>
      </c>
      <c r="AP1" s="348">
        <f>'T&amp;M'!BA5</f>
        <v>43297</v>
      </c>
      <c r="AQ1" s="348">
        <f>'T&amp;M'!BB5</f>
        <v>43304</v>
      </c>
      <c r="AR1" s="348">
        <f>'T&amp;M'!BC5</f>
        <v>43311</v>
      </c>
      <c r="AS1" s="348">
        <f>'T&amp;M'!BD5</f>
        <v>43318</v>
      </c>
      <c r="AT1" s="348">
        <f>'T&amp;M'!BE5</f>
        <v>43325</v>
      </c>
      <c r="AU1" s="348">
        <f>'T&amp;M'!BF5</f>
        <v>43332</v>
      </c>
      <c r="AV1" s="348">
        <f>'T&amp;M'!BG5</f>
        <v>43339</v>
      </c>
      <c r="AW1" s="348">
        <f>'T&amp;M'!BH5</f>
        <v>43346</v>
      </c>
      <c r="AX1" s="348">
        <f>'T&amp;M'!BI5</f>
        <v>43353</v>
      </c>
      <c r="AY1" s="348">
        <f>'T&amp;M'!BJ5</f>
        <v>43360</v>
      </c>
      <c r="AZ1" s="348">
        <f>'T&amp;M'!BK5</f>
        <v>43367</v>
      </c>
      <c r="BA1" s="348">
        <f>'T&amp;M'!BL5</f>
        <v>43374</v>
      </c>
    </row>
    <row r="2" spans="1:53" s="44" customFormat="1" ht="13.5" customHeight="1" thickBot="1" x14ac:dyDescent="0.45">
      <c r="A2" s="351"/>
      <c r="B2" s="349" t="str">
        <f>'T&amp;M'!M6</f>
        <v>Week 1</v>
      </c>
      <c r="C2" s="349" t="str">
        <f>'T&amp;M'!N6</f>
        <v>Week 2</v>
      </c>
      <c r="D2" s="349" t="str">
        <f>'T&amp;M'!O6</f>
        <v>Week 3</v>
      </c>
      <c r="E2" s="349" t="str">
        <f>'T&amp;M'!P6</f>
        <v>Week 4</v>
      </c>
      <c r="F2" s="349" t="str">
        <f>'T&amp;M'!Q6</f>
        <v>Week 5</v>
      </c>
      <c r="G2" s="349" t="str">
        <f>'T&amp;M'!R6</f>
        <v>Week 6</v>
      </c>
      <c r="H2" s="349" t="str">
        <f>'T&amp;M'!S6</f>
        <v>Week 7</v>
      </c>
      <c r="I2" s="349" t="str">
        <f>'T&amp;M'!T6</f>
        <v>Week 8</v>
      </c>
      <c r="J2" s="349" t="str">
        <f>'T&amp;M'!U6</f>
        <v>Week 9</v>
      </c>
      <c r="K2" s="349" t="str">
        <f>'T&amp;M'!V6</f>
        <v>Week 10</v>
      </c>
      <c r="L2" s="349" t="str">
        <f>'T&amp;M'!W6</f>
        <v>Week 11</v>
      </c>
      <c r="M2" s="349" t="str">
        <f>'T&amp;M'!X6</f>
        <v>Week 12</v>
      </c>
      <c r="N2" s="349" t="str">
        <f>'T&amp;M'!Y6</f>
        <v>Week 13</v>
      </c>
      <c r="O2" s="349" t="str">
        <f>'T&amp;M'!Z6</f>
        <v>Week 14</v>
      </c>
      <c r="P2" s="349" t="str">
        <f>'T&amp;M'!AA6</f>
        <v>Week 15</v>
      </c>
      <c r="Q2" s="349" t="str">
        <f>'T&amp;M'!AB6</f>
        <v>Week 16</v>
      </c>
      <c r="R2" s="349" t="str">
        <f>'T&amp;M'!AC6</f>
        <v>Week 17</v>
      </c>
      <c r="S2" s="349" t="str">
        <f>'T&amp;M'!AD6</f>
        <v>Week 18</v>
      </c>
      <c r="T2" s="349" t="str">
        <f>'T&amp;M'!AE6</f>
        <v>Week 19</v>
      </c>
      <c r="U2" s="349" t="str">
        <f>'T&amp;M'!AF6</f>
        <v>Week 20</v>
      </c>
      <c r="V2" s="349" t="str">
        <f>'T&amp;M'!AG6</f>
        <v>Week 21</v>
      </c>
      <c r="W2" s="349" t="str">
        <f>'T&amp;M'!AH6</f>
        <v>Week 22</v>
      </c>
      <c r="X2" s="349" t="str">
        <f>'T&amp;M'!AI6</f>
        <v>Week 23</v>
      </c>
      <c r="Y2" s="349" t="str">
        <f>'T&amp;M'!AJ6</f>
        <v>Week 24</v>
      </c>
      <c r="Z2" s="349" t="str">
        <f>'T&amp;M'!AK6</f>
        <v>Week 25</v>
      </c>
      <c r="AA2" s="349" t="str">
        <f>'T&amp;M'!AL6</f>
        <v>Week 26</v>
      </c>
      <c r="AB2" s="349" t="str">
        <f>'T&amp;M'!AM6</f>
        <v>Week 27</v>
      </c>
      <c r="AC2" s="349" t="str">
        <f>'T&amp;M'!AN6</f>
        <v>Week 28</v>
      </c>
      <c r="AD2" s="349" t="str">
        <f>'T&amp;M'!AO6</f>
        <v>Week 29</v>
      </c>
      <c r="AE2" s="349" t="str">
        <f>'T&amp;M'!AP6</f>
        <v>Week 30</v>
      </c>
      <c r="AF2" s="349" t="str">
        <f>'T&amp;M'!AQ6</f>
        <v>Week 31</v>
      </c>
      <c r="AG2" s="349" t="str">
        <f>'T&amp;M'!AR6</f>
        <v>Week 32</v>
      </c>
      <c r="AH2" s="349" t="str">
        <f>'T&amp;M'!AS6</f>
        <v>Week 33</v>
      </c>
      <c r="AI2" s="349" t="str">
        <f>'T&amp;M'!AT6</f>
        <v>Week 34</v>
      </c>
      <c r="AJ2" s="349" t="str">
        <f>'T&amp;M'!AU6</f>
        <v>Week 35</v>
      </c>
      <c r="AK2" s="349" t="str">
        <f>'T&amp;M'!AV6</f>
        <v>Week 36</v>
      </c>
      <c r="AL2" s="349" t="str">
        <f>'T&amp;M'!AW6</f>
        <v>Week 37</v>
      </c>
      <c r="AM2" s="349" t="str">
        <f>'T&amp;M'!AX6</f>
        <v>Week 38</v>
      </c>
      <c r="AN2" s="349" t="str">
        <f>'T&amp;M'!AY6</f>
        <v>Week 39</v>
      </c>
      <c r="AO2" s="349" t="str">
        <f>'T&amp;M'!AZ6</f>
        <v>Week 40</v>
      </c>
      <c r="AP2" s="349" t="str">
        <f>'T&amp;M'!BA6</f>
        <v>Week 41</v>
      </c>
      <c r="AQ2" s="349" t="str">
        <f>'T&amp;M'!BB6</f>
        <v>Week 42</v>
      </c>
      <c r="AR2" s="349" t="str">
        <f>'T&amp;M'!BC6</f>
        <v>Week 43</v>
      </c>
      <c r="AS2" s="349" t="str">
        <f>'T&amp;M'!BD6</f>
        <v>Week 44</v>
      </c>
      <c r="AT2" s="349" t="str">
        <f>'T&amp;M'!BE6</f>
        <v>Week 45</v>
      </c>
      <c r="AU2" s="349" t="str">
        <f>'T&amp;M'!BF6</f>
        <v>Week 46</v>
      </c>
      <c r="AV2" s="349" t="str">
        <f>'T&amp;M'!BG6</f>
        <v>Week 47</v>
      </c>
      <c r="AW2" s="349" t="str">
        <f>'T&amp;M'!BH6</f>
        <v>Week 48</v>
      </c>
      <c r="AX2" s="349" t="str">
        <f>'T&amp;M'!BI6</f>
        <v>Week 49</v>
      </c>
      <c r="AY2" s="349" t="str">
        <f>'T&amp;M'!BJ6</f>
        <v>Week 50</v>
      </c>
      <c r="AZ2" s="349" t="str">
        <f>'T&amp;M'!BK6</f>
        <v>Week 51</v>
      </c>
      <c r="BA2" s="349" t="str">
        <f>'T&amp;M'!BL6</f>
        <v>Week 52</v>
      </c>
    </row>
    <row r="3" spans="1:53" ht="13" x14ac:dyDescent="0.4">
      <c r="A3" s="351"/>
      <c r="B3" s="42" t="s">
        <v>2</v>
      </c>
      <c r="C3" s="42" t="s">
        <v>3</v>
      </c>
      <c r="D3" s="42" t="s">
        <v>4</v>
      </c>
      <c r="E3" s="42" t="s">
        <v>5</v>
      </c>
      <c r="F3" s="42" t="s">
        <v>6</v>
      </c>
      <c r="G3" s="42" t="s">
        <v>7</v>
      </c>
      <c r="H3" s="42" t="s">
        <v>8</v>
      </c>
      <c r="I3" s="42" t="s">
        <v>9</v>
      </c>
      <c r="J3" s="42" t="s">
        <v>10</v>
      </c>
      <c r="K3" s="42" t="s">
        <v>11</v>
      </c>
      <c r="L3" s="42" t="s">
        <v>12</v>
      </c>
      <c r="M3" s="42" t="s">
        <v>13</v>
      </c>
      <c r="N3" s="42" t="s">
        <v>14</v>
      </c>
      <c r="O3" s="42" t="s">
        <v>15</v>
      </c>
      <c r="P3" s="42" t="s">
        <v>16</v>
      </c>
      <c r="Q3" s="42" t="s">
        <v>17</v>
      </c>
      <c r="R3" s="42" t="s">
        <v>18</v>
      </c>
      <c r="S3" s="42" t="s">
        <v>19</v>
      </c>
      <c r="T3" s="42" t="s">
        <v>20</v>
      </c>
      <c r="U3" s="42" t="s">
        <v>21</v>
      </c>
      <c r="V3" s="42" t="s">
        <v>22</v>
      </c>
      <c r="W3" s="42" t="s">
        <v>23</v>
      </c>
      <c r="X3" s="42" t="s">
        <v>24</v>
      </c>
      <c r="Y3" s="42" t="s">
        <v>25</v>
      </c>
      <c r="Z3" s="42" t="s">
        <v>61</v>
      </c>
      <c r="AA3" s="42" t="s">
        <v>62</v>
      </c>
      <c r="AB3" s="42" t="s">
        <v>63</v>
      </c>
      <c r="AC3" s="42" t="s">
        <v>64</v>
      </c>
      <c r="AD3" s="42" t="s">
        <v>65</v>
      </c>
      <c r="AE3" s="42" t="s">
        <v>66</v>
      </c>
      <c r="AF3" s="42" t="s">
        <v>67</v>
      </c>
      <c r="AG3" s="42" t="s">
        <v>68</v>
      </c>
      <c r="AH3" s="42" t="s">
        <v>69</v>
      </c>
      <c r="AI3" s="42" t="s">
        <v>70</v>
      </c>
      <c r="AJ3" s="42" t="s">
        <v>71</v>
      </c>
      <c r="AK3" s="42" t="s">
        <v>72</v>
      </c>
      <c r="AL3" s="42" t="s">
        <v>73</v>
      </c>
      <c r="AM3" s="42" t="s">
        <v>74</v>
      </c>
      <c r="AN3" s="42" t="s">
        <v>75</v>
      </c>
      <c r="AO3" s="42" t="s">
        <v>76</v>
      </c>
      <c r="AP3" s="42" t="s">
        <v>77</v>
      </c>
      <c r="AQ3" s="42" t="s">
        <v>78</v>
      </c>
      <c r="AR3" s="42" t="s">
        <v>79</v>
      </c>
      <c r="AS3" s="42" t="s">
        <v>80</v>
      </c>
      <c r="AT3" s="42" t="s">
        <v>81</v>
      </c>
      <c r="AU3" s="42" t="s">
        <v>82</v>
      </c>
      <c r="AV3" s="42" t="s">
        <v>83</v>
      </c>
      <c r="AW3" s="42" t="s">
        <v>84</v>
      </c>
      <c r="AX3" s="42" t="s">
        <v>85</v>
      </c>
      <c r="AY3" s="42" t="s">
        <v>86</v>
      </c>
      <c r="AZ3" s="42" t="s">
        <v>87</v>
      </c>
      <c r="BA3" s="42" t="s">
        <v>88</v>
      </c>
    </row>
    <row r="4" spans="1:53" ht="13" x14ac:dyDescent="0.45">
      <c r="A4" s="45">
        <f>'T&amp;M'!C8</f>
        <v>0</v>
      </c>
      <c r="B4" s="53">
        <f>'T&amp;M'!M8*9</f>
        <v>0</v>
      </c>
      <c r="C4" s="53">
        <f>'T&amp;M'!N8*9</f>
        <v>0</v>
      </c>
      <c r="D4" s="53">
        <f>'T&amp;M'!O8*9</f>
        <v>0</v>
      </c>
      <c r="E4" s="53">
        <f>'T&amp;M'!P8*9</f>
        <v>0</v>
      </c>
      <c r="F4" s="53">
        <f>'T&amp;M'!Q8*9</f>
        <v>0</v>
      </c>
      <c r="G4" s="53">
        <f>'T&amp;M'!R8*9</f>
        <v>0</v>
      </c>
      <c r="H4" s="53">
        <f>'T&amp;M'!S8*9</f>
        <v>0</v>
      </c>
      <c r="I4" s="53">
        <f>'T&amp;M'!T8*9</f>
        <v>0</v>
      </c>
      <c r="J4" s="53">
        <f>'T&amp;M'!U8*9</f>
        <v>0</v>
      </c>
      <c r="K4" s="53">
        <f>'T&amp;M'!V8*9</f>
        <v>0</v>
      </c>
      <c r="L4" s="53">
        <f>'T&amp;M'!W8*9</f>
        <v>0</v>
      </c>
      <c r="M4" s="53">
        <f>'T&amp;M'!X8*9</f>
        <v>0</v>
      </c>
      <c r="N4" s="53">
        <f>'T&amp;M'!Y8*9</f>
        <v>0</v>
      </c>
      <c r="O4" s="53">
        <f>'T&amp;M'!Z8*9</f>
        <v>0</v>
      </c>
      <c r="P4" s="53">
        <f>'T&amp;M'!AA8*9</f>
        <v>0</v>
      </c>
      <c r="Q4" s="53">
        <f>'T&amp;M'!AB8*9</f>
        <v>0</v>
      </c>
      <c r="R4" s="53">
        <f>'T&amp;M'!AC8*9</f>
        <v>0</v>
      </c>
      <c r="S4" s="53">
        <f>'T&amp;M'!AD8*9</f>
        <v>0</v>
      </c>
      <c r="T4" s="53">
        <f>'T&amp;M'!AE8*9</f>
        <v>0</v>
      </c>
      <c r="U4" s="53">
        <f>'T&amp;M'!AF8*9</f>
        <v>0</v>
      </c>
      <c r="V4" s="53">
        <f>'T&amp;M'!AG8*9</f>
        <v>0</v>
      </c>
      <c r="W4" s="53">
        <f>'T&amp;M'!AH8*9</f>
        <v>0</v>
      </c>
      <c r="X4" s="53">
        <f>'T&amp;M'!AI8*9</f>
        <v>0</v>
      </c>
      <c r="Y4" s="53">
        <f>'T&amp;M'!AJ8*9</f>
        <v>0</v>
      </c>
      <c r="Z4" s="53">
        <f>'T&amp;M'!AK8*9</f>
        <v>0</v>
      </c>
      <c r="AA4" s="53">
        <f>'T&amp;M'!AL8*9</f>
        <v>0</v>
      </c>
      <c r="AB4" s="53">
        <f>'T&amp;M'!AM8*9</f>
        <v>0</v>
      </c>
      <c r="AC4" s="53">
        <f>'T&amp;M'!AN8*9</f>
        <v>0</v>
      </c>
      <c r="AD4" s="53">
        <f>'T&amp;M'!AO8*9</f>
        <v>0</v>
      </c>
      <c r="AE4" s="53">
        <f>'T&amp;M'!AP8*9</f>
        <v>0</v>
      </c>
      <c r="AF4" s="53">
        <f>'T&amp;M'!AQ8*9</f>
        <v>0</v>
      </c>
      <c r="AG4" s="53">
        <f>'T&amp;M'!AR8*9</f>
        <v>0</v>
      </c>
      <c r="AH4" s="53">
        <f>'T&amp;M'!AS8*9</f>
        <v>0</v>
      </c>
      <c r="AI4" s="53">
        <f>'T&amp;M'!AT8*9</f>
        <v>0</v>
      </c>
      <c r="AJ4" s="53">
        <f>'T&amp;M'!AU8*9</f>
        <v>0</v>
      </c>
      <c r="AK4" s="53">
        <f>'T&amp;M'!AV8*9</f>
        <v>0</v>
      </c>
      <c r="AL4" s="53">
        <f>'T&amp;M'!AW8*9</f>
        <v>0</v>
      </c>
      <c r="AM4" s="53">
        <f>'T&amp;M'!AX8*9</f>
        <v>0</v>
      </c>
      <c r="AN4" s="53">
        <f>'T&amp;M'!AY8*9</f>
        <v>0</v>
      </c>
      <c r="AO4" s="53">
        <f>'T&amp;M'!AZ8*9</f>
        <v>0</v>
      </c>
      <c r="AP4" s="53">
        <f>'T&amp;M'!BA8*9</f>
        <v>0</v>
      </c>
      <c r="AQ4" s="53">
        <f>'T&amp;M'!BB8*9</f>
        <v>0</v>
      </c>
      <c r="AR4" s="53">
        <f>'T&amp;M'!BC8*9</f>
        <v>0</v>
      </c>
      <c r="AS4" s="53">
        <f>'T&amp;M'!BD8*9</f>
        <v>0</v>
      </c>
      <c r="AT4" s="53">
        <f>'T&amp;M'!BE8*9</f>
        <v>0</v>
      </c>
      <c r="AU4" s="53">
        <f>'T&amp;M'!BF8*9</f>
        <v>0</v>
      </c>
      <c r="AV4" s="53">
        <f>'T&amp;M'!BG8*9</f>
        <v>0</v>
      </c>
      <c r="AW4" s="53">
        <f>'T&amp;M'!BH8*9</f>
        <v>0</v>
      </c>
      <c r="AX4" s="53">
        <f>'T&amp;M'!BI8*9</f>
        <v>0</v>
      </c>
      <c r="AY4" s="53">
        <f>'T&amp;M'!BJ8*9</f>
        <v>0</v>
      </c>
      <c r="AZ4" s="53">
        <f>'T&amp;M'!BK8*9</f>
        <v>0</v>
      </c>
      <c r="BA4" s="53">
        <f>'T&amp;M'!BL8*9</f>
        <v>0</v>
      </c>
    </row>
    <row r="5" spans="1:53" ht="13" x14ac:dyDescent="0.45">
      <c r="A5" s="45">
        <f>'T&amp;M'!C9</f>
        <v>0</v>
      </c>
      <c r="B5" s="53">
        <f>'T&amp;M'!M9*9</f>
        <v>0</v>
      </c>
      <c r="C5" s="53">
        <f>'T&amp;M'!N9*9</f>
        <v>0</v>
      </c>
      <c r="D5" s="53">
        <f>'T&amp;M'!O9*9</f>
        <v>0</v>
      </c>
      <c r="E5" s="53">
        <f>'T&amp;M'!P9*9</f>
        <v>0</v>
      </c>
      <c r="F5" s="53">
        <f>'T&amp;M'!Q9*9</f>
        <v>0</v>
      </c>
      <c r="G5" s="53">
        <f>'T&amp;M'!R9*9</f>
        <v>0</v>
      </c>
      <c r="H5" s="53">
        <f>'T&amp;M'!S9*9</f>
        <v>0</v>
      </c>
      <c r="I5" s="53">
        <f>'T&amp;M'!T9*9</f>
        <v>0</v>
      </c>
      <c r="J5" s="53">
        <f>'T&amp;M'!U9*9</f>
        <v>0</v>
      </c>
      <c r="K5" s="53">
        <f>'T&amp;M'!V9*9</f>
        <v>0</v>
      </c>
      <c r="L5" s="53">
        <f>'T&amp;M'!W9*9</f>
        <v>0</v>
      </c>
      <c r="M5" s="53">
        <f>'T&amp;M'!X9*9</f>
        <v>0</v>
      </c>
      <c r="N5" s="53">
        <f>'T&amp;M'!Y9*9</f>
        <v>0</v>
      </c>
      <c r="O5" s="53">
        <f>'T&amp;M'!Z9*9</f>
        <v>0</v>
      </c>
      <c r="P5" s="53">
        <f>'T&amp;M'!AA9*9</f>
        <v>0</v>
      </c>
      <c r="Q5" s="53">
        <f>'T&amp;M'!AB9*9</f>
        <v>0</v>
      </c>
      <c r="R5" s="53">
        <f>'T&amp;M'!AC9*9</f>
        <v>0</v>
      </c>
      <c r="S5" s="53">
        <f>'T&amp;M'!AD9*9</f>
        <v>0</v>
      </c>
      <c r="T5" s="53">
        <f>'T&amp;M'!AE9*9</f>
        <v>0</v>
      </c>
      <c r="U5" s="53">
        <f>'T&amp;M'!AF9*9</f>
        <v>0</v>
      </c>
      <c r="V5" s="53">
        <f>'T&amp;M'!AG9*9</f>
        <v>0</v>
      </c>
      <c r="W5" s="53">
        <f>'T&amp;M'!AH9*9</f>
        <v>0</v>
      </c>
      <c r="X5" s="53">
        <f>'T&amp;M'!AI9*9</f>
        <v>0</v>
      </c>
      <c r="Y5" s="53">
        <f>'T&amp;M'!AJ9*9</f>
        <v>0</v>
      </c>
      <c r="Z5" s="53">
        <f>'T&amp;M'!AK9*9</f>
        <v>0</v>
      </c>
      <c r="AA5" s="53">
        <f>'T&amp;M'!AL9*9</f>
        <v>0</v>
      </c>
      <c r="AB5" s="53">
        <f>'T&amp;M'!AM9*9</f>
        <v>0</v>
      </c>
      <c r="AC5" s="53">
        <f>'T&amp;M'!AN9*9</f>
        <v>0</v>
      </c>
      <c r="AD5" s="53">
        <f>'T&amp;M'!AO9*9</f>
        <v>0</v>
      </c>
      <c r="AE5" s="53">
        <f>'T&amp;M'!AP9*9</f>
        <v>0</v>
      </c>
      <c r="AF5" s="53">
        <f>'T&amp;M'!AQ9*9</f>
        <v>0</v>
      </c>
      <c r="AG5" s="53">
        <f>'T&amp;M'!AR9*9</f>
        <v>0</v>
      </c>
      <c r="AH5" s="53">
        <f>'T&amp;M'!AS9*9</f>
        <v>0</v>
      </c>
      <c r="AI5" s="53">
        <f>'T&amp;M'!AT9*9</f>
        <v>0</v>
      </c>
      <c r="AJ5" s="53">
        <f>'T&amp;M'!AU9*9</f>
        <v>0</v>
      </c>
      <c r="AK5" s="53">
        <f>'T&amp;M'!AV9*9</f>
        <v>0</v>
      </c>
      <c r="AL5" s="53">
        <f>'T&amp;M'!AW9*9</f>
        <v>0</v>
      </c>
      <c r="AM5" s="53">
        <f>'T&amp;M'!AX9*9</f>
        <v>0</v>
      </c>
      <c r="AN5" s="53">
        <f>'T&amp;M'!AY9*9</f>
        <v>0</v>
      </c>
      <c r="AO5" s="53">
        <f>'T&amp;M'!AZ9*9</f>
        <v>0</v>
      </c>
      <c r="AP5" s="53">
        <f>'T&amp;M'!BA9*9</f>
        <v>0</v>
      </c>
      <c r="AQ5" s="53">
        <f>'T&amp;M'!BB9*9</f>
        <v>0</v>
      </c>
      <c r="AR5" s="53">
        <f>'T&amp;M'!BC9*9</f>
        <v>0</v>
      </c>
      <c r="AS5" s="53">
        <f>'T&amp;M'!BD9*9</f>
        <v>0</v>
      </c>
      <c r="AT5" s="53">
        <f>'T&amp;M'!BE9*9</f>
        <v>0</v>
      </c>
      <c r="AU5" s="53">
        <f>'T&amp;M'!BF9*9</f>
        <v>0</v>
      </c>
      <c r="AV5" s="53">
        <f>'T&amp;M'!BG9*9</f>
        <v>0</v>
      </c>
      <c r="AW5" s="53">
        <f>'T&amp;M'!BH9*9</f>
        <v>0</v>
      </c>
      <c r="AX5" s="53">
        <f>'T&amp;M'!BI9*9</f>
        <v>0</v>
      </c>
      <c r="AY5" s="53">
        <f>'T&amp;M'!BJ9*9</f>
        <v>0</v>
      </c>
      <c r="AZ5" s="53">
        <f>'T&amp;M'!BK9*9</f>
        <v>0</v>
      </c>
      <c r="BA5" s="53">
        <f>'T&amp;M'!BL9*9</f>
        <v>0</v>
      </c>
    </row>
    <row r="6" spans="1:53" ht="13" x14ac:dyDescent="0.45">
      <c r="A6" s="45">
        <f>'T&amp;M'!C10</f>
        <v>0</v>
      </c>
      <c r="B6" s="53">
        <f>'T&amp;M'!M10*9</f>
        <v>0</v>
      </c>
      <c r="C6" s="53">
        <f>'T&amp;M'!N10*9</f>
        <v>0</v>
      </c>
      <c r="D6" s="53">
        <f>'T&amp;M'!O10*9</f>
        <v>0</v>
      </c>
      <c r="E6" s="53">
        <f>'T&amp;M'!P10*9</f>
        <v>0</v>
      </c>
      <c r="F6" s="53">
        <f>'T&amp;M'!Q10*9</f>
        <v>0</v>
      </c>
      <c r="G6" s="53">
        <f>'T&amp;M'!R10*9</f>
        <v>0</v>
      </c>
      <c r="H6" s="53">
        <f>'T&amp;M'!S10*9</f>
        <v>0</v>
      </c>
      <c r="I6" s="53">
        <f>'T&amp;M'!T10*9</f>
        <v>0</v>
      </c>
      <c r="J6" s="53">
        <f>'T&amp;M'!U10*9</f>
        <v>0</v>
      </c>
      <c r="K6" s="53">
        <f>'T&amp;M'!V10*9</f>
        <v>0</v>
      </c>
      <c r="L6" s="53">
        <f>'T&amp;M'!W10*9</f>
        <v>0</v>
      </c>
      <c r="M6" s="53">
        <f>'T&amp;M'!X10*9</f>
        <v>0</v>
      </c>
      <c r="N6" s="53">
        <f>'T&amp;M'!Y10*9</f>
        <v>0</v>
      </c>
      <c r="O6" s="53">
        <f>'T&amp;M'!Z10*9</f>
        <v>0</v>
      </c>
      <c r="P6" s="53">
        <f>'T&amp;M'!AA10*9</f>
        <v>0</v>
      </c>
      <c r="Q6" s="53">
        <f>'T&amp;M'!AB10*9</f>
        <v>0</v>
      </c>
      <c r="R6" s="53">
        <f>'T&amp;M'!AC10*9</f>
        <v>0</v>
      </c>
      <c r="S6" s="53">
        <f>'T&amp;M'!AD10*9</f>
        <v>0</v>
      </c>
      <c r="T6" s="53">
        <f>'T&amp;M'!AE10*9</f>
        <v>0</v>
      </c>
      <c r="U6" s="53">
        <f>'T&amp;M'!AF10*9</f>
        <v>0</v>
      </c>
      <c r="V6" s="53">
        <f>'T&amp;M'!AG10*9</f>
        <v>0</v>
      </c>
      <c r="W6" s="53">
        <f>'T&amp;M'!AH10*9</f>
        <v>0</v>
      </c>
      <c r="X6" s="53">
        <f>'T&amp;M'!AI10*9</f>
        <v>0</v>
      </c>
      <c r="Y6" s="53">
        <f>'T&amp;M'!AJ10*9</f>
        <v>0</v>
      </c>
      <c r="Z6" s="53">
        <f>'T&amp;M'!AK10*9</f>
        <v>0</v>
      </c>
      <c r="AA6" s="53">
        <f>'T&amp;M'!AL10*9</f>
        <v>0</v>
      </c>
      <c r="AB6" s="53">
        <f>'T&amp;M'!AM10*9</f>
        <v>0</v>
      </c>
      <c r="AC6" s="53">
        <f>'T&amp;M'!AN10*9</f>
        <v>0</v>
      </c>
      <c r="AD6" s="53">
        <f>'T&amp;M'!AO10*9</f>
        <v>0</v>
      </c>
      <c r="AE6" s="53">
        <f>'T&amp;M'!AP10*9</f>
        <v>0</v>
      </c>
      <c r="AF6" s="53">
        <f>'T&amp;M'!AQ10*9</f>
        <v>0</v>
      </c>
      <c r="AG6" s="53">
        <f>'T&amp;M'!AR10*9</f>
        <v>0</v>
      </c>
      <c r="AH6" s="53">
        <f>'T&amp;M'!AS10*9</f>
        <v>0</v>
      </c>
      <c r="AI6" s="53">
        <f>'T&amp;M'!AT10*9</f>
        <v>0</v>
      </c>
      <c r="AJ6" s="53">
        <f>'T&amp;M'!AU10*9</f>
        <v>0</v>
      </c>
      <c r="AK6" s="53">
        <f>'T&amp;M'!AV10*9</f>
        <v>0</v>
      </c>
      <c r="AL6" s="53">
        <f>'T&amp;M'!AW10*9</f>
        <v>0</v>
      </c>
      <c r="AM6" s="53">
        <f>'T&amp;M'!AX10*9</f>
        <v>0</v>
      </c>
      <c r="AN6" s="53">
        <f>'T&amp;M'!AY10*9</f>
        <v>0</v>
      </c>
      <c r="AO6" s="53">
        <f>'T&amp;M'!AZ10*9</f>
        <v>0</v>
      </c>
      <c r="AP6" s="53">
        <f>'T&amp;M'!BA10*9</f>
        <v>0</v>
      </c>
      <c r="AQ6" s="53">
        <f>'T&amp;M'!BB10*9</f>
        <v>0</v>
      </c>
      <c r="AR6" s="53">
        <f>'T&amp;M'!BC10*9</f>
        <v>0</v>
      </c>
      <c r="AS6" s="53">
        <f>'T&amp;M'!BD10*9</f>
        <v>0</v>
      </c>
      <c r="AT6" s="53">
        <f>'T&amp;M'!BE10*9</f>
        <v>0</v>
      </c>
      <c r="AU6" s="53">
        <f>'T&amp;M'!BF10*9</f>
        <v>0</v>
      </c>
      <c r="AV6" s="53">
        <f>'T&amp;M'!BG10*9</f>
        <v>0</v>
      </c>
      <c r="AW6" s="53">
        <f>'T&amp;M'!BH10*9</f>
        <v>0</v>
      </c>
      <c r="AX6" s="53">
        <f>'T&amp;M'!BI10*9</f>
        <v>0</v>
      </c>
      <c r="AY6" s="53">
        <f>'T&amp;M'!BJ10*9</f>
        <v>0</v>
      </c>
      <c r="AZ6" s="53">
        <f>'T&amp;M'!BK10*9</f>
        <v>0</v>
      </c>
      <c r="BA6" s="53">
        <f>'T&amp;M'!BL10*9</f>
        <v>0</v>
      </c>
    </row>
    <row r="7" spans="1:53" ht="13" x14ac:dyDescent="0.45">
      <c r="A7" s="45">
        <f>'T&amp;M'!C11</f>
        <v>0</v>
      </c>
      <c r="B7" s="53">
        <f>'T&amp;M'!M11*9</f>
        <v>0</v>
      </c>
      <c r="C7" s="53">
        <f>'T&amp;M'!N11*9</f>
        <v>0</v>
      </c>
      <c r="D7" s="53">
        <f>'T&amp;M'!O11*9</f>
        <v>0</v>
      </c>
      <c r="E7" s="53">
        <f>'T&amp;M'!P11*9</f>
        <v>0</v>
      </c>
      <c r="F7" s="53">
        <f>'T&amp;M'!Q11*9</f>
        <v>0</v>
      </c>
      <c r="G7" s="53">
        <f>'T&amp;M'!R11*9</f>
        <v>0</v>
      </c>
      <c r="H7" s="53">
        <f>'T&amp;M'!S11*9</f>
        <v>0</v>
      </c>
      <c r="I7" s="53">
        <f>'T&amp;M'!T11*9</f>
        <v>0</v>
      </c>
      <c r="J7" s="53">
        <f>'T&amp;M'!U11*9</f>
        <v>0</v>
      </c>
      <c r="K7" s="53">
        <f>'T&amp;M'!V11*9</f>
        <v>0</v>
      </c>
      <c r="L7" s="53">
        <f>'T&amp;M'!W11*9</f>
        <v>0</v>
      </c>
      <c r="M7" s="53">
        <f>'T&amp;M'!X11*9</f>
        <v>0</v>
      </c>
      <c r="N7" s="53">
        <f>'T&amp;M'!Y11*9</f>
        <v>0</v>
      </c>
      <c r="O7" s="53">
        <f>'T&amp;M'!Z11*9</f>
        <v>0</v>
      </c>
      <c r="P7" s="53">
        <f>'T&amp;M'!AA11*9</f>
        <v>0</v>
      </c>
      <c r="Q7" s="53">
        <f>'T&amp;M'!AB11*9</f>
        <v>0</v>
      </c>
      <c r="R7" s="53">
        <f>'T&amp;M'!AC11*9</f>
        <v>0</v>
      </c>
      <c r="S7" s="53">
        <f>'T&amp;M'!AD11*9</f>
        <v>0</v>
      </c>
      <c r="T7" s="53">
        <f>'T&amp;M'!AE11*9</f>
        <v>0</v>
      </c>
      <c r="U7" s="53">
        <f>'T&amp;M'!AF11*9</f>
        <v>0</v>
      </c>
      <c r="V7" s="53">
        <f>'T&amp;M'!AG11*9</f>
        <v>0</v>
      </c>
      <c r="W7" s="53">
        <f>'T&amp;M'!AH11*9</f>
        <v>0</v>
      </c>
      <c r="X7" s="53">
        <f>'T&amp;M'!AI11*9</f>
        <v>0</v>
      </c>
      <c r="Y7" s="53">
        <f>'T&amp;M'!AJ11*9</f>
        <v>0</v>
      </c>
      <c r="Z7" s="53">
        <f>'T&amp;M'!AK11*9</f>
        <v>0</v>
      </c>
      <c r="AA7" s="53">
        <f>'T&amp;M'!AL11*9</f>
        <v>0</v>
      </c>
      <c r="AB7" s="53">
        <f>'T&amp;M'!AM11*9</f>
        <v>0</v>
      </c>
      <c r="AC7" s="53">
        <f>'T&amp;M'!AN11*9</f>
        <v>0</v>
      </c>
      <c r="AD7" s="53">
        <f>'T&amp;M'!AO11*9</f>
        <v>0</v>
      </c>
      <c r="AE7" s="53">
        <f>'T&amp;M'!AP11*9</f>
        <v>0</v>
      </c>
      <c r="AF7" s="53">
        <f>'T&amp;M'!AQ11*9</f>
        <v>0</v>
      </c>
      <c r="AG7" s="53">
        <f>'T&amp;M'!AR11*9</f>
        <v>0</v>
      </c>
      <c r="AH7" s="53">
        <f>'T&amp;M'!AS11*9</f>
        <v>0</v>
      </c>
      <c r="AI7" s="53">
        <f>'T&amp;M'!AT11*9</f>
        <v>0</v>
      </c>
      <c r="AJ7" s="53">
        <f>'T&amp;M'!AU11*9</f>
        <v>0</v>
      </c>
      <c r="AK7" s="53">
        <f>'T&amp;M'!AV11*9</f>
        <v>0</v>
      </c>
      <c r="AL7" s="53">
        <f>'T&amp;M'!AW11*9</f>
        <v>0</v>
      </c>
      <c r="AM7" s="53">
        <f>'T&amp;M'!AX11*9</f>
        <v>0</v>
      </c>
      <c r="AN7" s="53">
        <f>'T&amp;M'!AY11*9</f>
        <v>0</v>
      </c>
      <c r="AO7" s="53">
        <f>'T&amp;M'!AZ11*9</f>
        <v>0</v>
      </c>
      <c r="AP7" s="53">
        <f>'T&amp;M'!BA11*9</f>
        <v>0</v>
      </c>
      <c r="AQ7" s="53">
        <f>'T&amp;M'!BB11*9</f>
        <v>0</v>
      </c>
      <c r="AR7" s="53">
        <f>'T&amp;M'!BC11*9</f>
        <v>0</v>
      </c>
      <c r="AS7" s="53">
        <f>'T&amp;M'!BD11*9</f>
        <v>0</v>
      </c>
      <c r="AT7" s="53">
        <f>'T&amp;M'!BE11*9</f>
        <v>0</v>
      </c>
      <c r="AU7" s="53">
        <f>'T&amp;M'!BF11*9</f>
        <v>0</v>
      </c>
      <c r="AV7" s="53">
        <f>'T&amp;M'!BG11*9</f>
        <v>0</v>
      </c>
      <c r="AW7" s="53">
        <f>'T&amp;M'!BH11*9</f>
        <v>0</v>
      </c>
      <c r="AX7" s="53">
        <f>'T&amp;M'!BI11*9</f>
        <v>0</v>
      </c>
      <c r="AY7" s="53">
        <f>'T&amp;M'!BJ11*9</f>
        <v>0</v>
      </c>
      <c r="AZ7" s="53">
        <f>'T&amp;M'!BK11*9</f>
        <v>0</v>
      </c>
      <c r="BA7" s="53">
        <f>'T&amp;M'!BL11*9</f>
        <v>0</v>
      </c>
    </row>
    <row r="8" spans="1:53" ht="13" x14ac:dyDescent="0.45">
      <c r="A8" s="45">
        <f>'T&amp;M'!C12</f>
        <v>0</v>
      </c>
      <c r="B8" s="53">
        <f>'T&amp;M'!M12*9</f>
        <v>0</v>
      </c>
      <c r="C8" s="53">
        <f>'T&amp;M'!N12*9</f>
        <v>0</v>
      </c>
      <c r="D8" s="53">
        <f>'T&amp;M'!O12*9</f>
        <v>0</v>
      </c>
      <c r="E8" s="53">
        <f>'T&amp;M'!P12*9</f>
        <v>0</v>
      </c>
      <c r="F8" s="53">
        <f>'T&amp;M'!Q12*9</f>
        <v>0</v>
      </c>
      <c r="G8" s="53">
        <f>'T&amp;M'!R12*9</f>
        <v>0</v>
      </c>
      <c r="H8" s="53">
        <f>'T&amp;M'!S12*9</f>
        <v>0</v>
      </c>
      <c r="I8" s="53">
        <f>'T&amp;M'!T12*9</f>
        <v>0</v>
      </c>
      <c r="J8" s="53">
        <f>'T&amp;M'!U12*9</f>
        <v>0</v>
      </c>
      <c r="K8" s="53">
        <f>'T&amp;M'!V12*9</f>
        <v>0</v>
      </c>
      <c r="L8" s="53">
        <f>'T&amp;M'!W12*9</f>
        <v>0</v>
      </c>
      <c r="M8" s="53">
        <f>'T&amp;M'!X12*9</f>
        <v>0</v>
      </c>
      <c r="N8" s="53">
        <f>'T&amp;M'!Y12*9</f>
        <v>0</v>
      </c>
      <c r="O8" s="53">
        <f>'T&amp;M'!Z12*9</f>
        <v>0</v>
      </c>
      <c r="P8" s="53">
        <f>'T&amp;M'!AA12*9</f>
        <v>0</v>
      </c>
      <c r="Q8" s="53">
        <f>'T&amp;M'!AB12*9</f>
        <v>0</v>
      </c>
      <c r="R8" s="53">
        <f>'T&amp;M'!AC12*9</f>
        <v>0</v>
      </c>
      <c r="S8" s="53">
        <f>'T&amp;M'!AD12*9</f>
        <v>0</v>
      </c>
      <c r="T8" s="53">
        <f>'T&amp;M'!AE12*9</f>
        <v>0</v>
      </c>
      <c r="U8" s="53">
        <f>'T&amp;M'!AF12*9</f>
        <v>0</v>
      </c>
      <c r="V8" s="53">
        <f>'T&amp;M'!AG12*9</f>
        <v>0</v>
      </c>
      <c r="W8" s="53">
        <f>'T&amp;M'!AH12*9</f>
        <v>0</v>
      </c>
      <c r="X8" s="53">
        <f>'T&amp;M'!AI12*9</f>
        <v>0</v>
      </c>
      <c r="Y8" s="53">
        <f>'T&amp;M'!AJ12*9</f>
        <v>0</v>
      </c>
      <c r="Z8" s="53">
        <f>'T&amp;M'!AK12*9</f>
        <v>0</v>
      </c>
      <c r="AA8" s="53">
        <f>'T&amp;M'!AL12*9</f>
        <v>0</v>
      </c>
      <c r="AB8" s="53">
        <f>'T&amp;M'!AM12*9</f>
        <v>0</v>
      </c>
      <c r="AC8" s="53">
        <f>'T&amp;M'!AN12*9</f>
        <v>0</v>
      </c>
      <c r="AD8" s="53">
        <f>'T&amp;M'!AO12*9</f>
        <v>0</v>
      </c>
      <c r="AE8" s="53">
        <f>'T&amp;M'!AP12*9</f>
        <v>0</v>
      </c>
      <c r="AF8" s="53">
        <f>'T&amp;M'!AQ12*9</f>
        <v>0</v>
      </c>
      <c r="AG8" s="53">
        <f>'T&amp;M'!AR12*9</f>
        <v>0</v>
      </c>
      <c r="AH8" s="53">
        <f>'T&amp;M'!AS12*9</f>
        <v>0</v>
      </c>
      <c r="AI8" s="53">
        <f>'T&amp;M'!AT12*9</f>
        <v>0</v>
      </c>
      <c r="AJ8" s="53">
        <f>'T&amp;M'!AU12*9</f>
        <v>0</v>
      </c>
      <c r="AK8" s="53">
        <f>'T&amp;M'!AV12*9</f>
        <v>0</v>
      </c>
      <c r="AL8" s="53">
        <f>'T&amp;M'!AW12*9</f>
        <v>0</v>
      </c>
      <c r="AM8" s="53">
        <f>'T&amp;M'!AX12*9</f>
        <v>0</v>
      </c>
      <c r="AN8" s="53">
        <f>'T&amp;M'!AY12*9</f>
        <v>0</v>
      </c>
      <c r="AO8" s="53">
        <f>'T&amp;M'!AZ12*9</f>
        <v>0</v>
      </c>
      <c r="AP8" s="53">
        <f>'T&amp;M'!BA12*9</f>
        <v>0</v>
      </c>
      <c r="AQ8" s="53">
        <f>'T&amp;M'!BB12*9</f>
        <v>0</v>
      </c>
      <c r="AR8" s="53">
        <f>'T&amp;M'!BC12*9</f>
        <v>0</v>
      </c>
      <c r="AS8" s="53">
        <f>'T&amp;M'!BD12*9</f>
        <v>0</v>
      </c>
      <c r="AT8" s="53">
        <f>'T&amp;M'!BE12*9</f>
        <v>0</v>
      </c>
      <c r="AU8" s="53">
        <f>'T&amp;M'!BF12*9</f>
        <v>0</v>
      </c>
      <c r="AV8" s="53">
        <f>'T&amp;M'!BG12*9</f>
        <v>0</v>
      </c>
      <c r="AW8" s="53">
        <f>'T&amp;M'!BH12*9</f>
        <v>0</v>
      </c>
      <c r="AX8" s="53">
        <f>'T&amp;M'!BI12*9</f>
        <v>0</v>
      </c>
      <c r="AY8" s="53">
        <f>'T&amp;M'!BJ12*9</f>
        <v>0</v>
      </c>
      <c r="AZ8" s="53">
        <f>'T&amp;M'!BK12*9</f>
        <v>0</v>
      </c>
      <c r="BA8" s="53">
        <f>'T&amp;M'!BL12*9</f>
        <v>0</v>
      </c>
    </row>
    <row r="9" spans="1:53" ht="13" x14ac:dyDescent="0.45">
      <c r="A9" s="45">
        <f>'T&amp;M'!C13</f>
        <v>0</v>
      </c>
      <c r="B9" s="53">
        <f>'T&amp;M'!M13*9</f>
        <v>0</v>
      </c>
      <c r="C9" s="53">
        <f>'T&amp;M'!N13*9</f>
        <v>0</v>
      </c>
      <c r="D9" s="53">
        <f>'T&amp;M'!O13*9</f>
        <v>0</v>
      </c>
      <c r="E9" s="53">
        <f>'T&amp;M'!P13*9</f>
        <v>0</v>
      </c>
      <c r="F9" s="53">
        <f>'T&amp;M'!Q13*9</f>
        <v>0</v>
      </c>
      <c r="G9" s="53">
        <f>'T&amp;M'!R13*9</f>
        <v>0</v>
      </c>
      <c r="H9" s="53">
        <f>'T&amp;M'!S13*9</f>
        <v>0</v>
      </c>
      <c r="I9" s="53">
        <f>'T&amp;M'!T13*9</f>
        <v>0</v>
      </c>
      <c r="J9" s="53">
        <f>'T&amp;M'!U13*9</f>
        <v>0</v>
      </c>
      <c r="K9" s="53">
        <f>'T&amp;M'!V13*9</f>
        <v>0</v>
      </c>
      <c r="L9" s="53">
        <f>'T&amp;M'!W13*9</f>
        <v>0</v>
      </c>
      <c r="M9" s="53">
        <f>'T&amp;M'!X13*9</f>
        <v>0</v>
      </c>
      <c r="N9" s="53">
        <f>'T&amp;M'!Y13*9</f>
        <v>0</v>
      </c>
      <c r="O9" s="53">
        <f>'T&amp;M'!Z13*9</f>
        <v>0</v>
      </c>
      <c r="P9" s="53">
        <f>'T&amp;M'!AA13*9</f>
        <v>0</v>
      </c>
      <c r="Q9" s="53">
        <f>'T&amp;M'!AB13*9</f>
        <v>0</v>
      </c>
      <c r="R9" s="53">
        <f>'T&amp;M'!AC13*9</f>
        <v>0</v>
      </c>
      <c r="S9" s="53">
        <f>'T&amp;M'!AD13*9</f>
        <v>0</v>
      </c>
      <c r="T9" s="53">
        <f>'T&amp;M'!AE13*9</f>
        <v>0</v>
      </c>
      <c r="U9" s="53">
        <f>'T&amp;M'!AF13*9</f>
        <v>0</v>
      </c>
      <c r="V9" s="53">
        <f>'T&amp;M'!AG13*9</f>
        <v>0</v>
      </c>
      <c r="W9" s="53">
        <f>'T&amp;M'!AH13*9</f>
        <v>0</v>
      </c>
      <c r="X9" s="53">
        <f>'T&amp;M'!AI13*9</f>
        <v>0</v>
      </c>
      <c r="Y9" s="53">
        <f>'T&amp;M'!AJ13*9</f>
        <v>0</v>
      </c>
      <c r="Z9" s="53">
        <f>'T&amp;M'!AK13*9</f>
        <v>0</v>
      </c>
      <c r="AA9" s="53">
        <f>'T&amp;M'!AL13*9</f>
        <v>0</v>
      </c>
      <c r="AB9" s="53">
        <f>'T&amp;M'!AM13*9</f>
        <v>0</v>
      </c>
      <c r="AC9" s="53">
        <f>'T&amp;M'!AN13*9</f>
        <v>0</v>
      </c>
      <c r="AD9" s="53">
        <f>'T&amp;M'!AO13*9</f>
        <v>0</v>
      </c>
      <c r="AE9" s="53">
        <f>'T&amp;M'!AP13*9</f>
        <v>0</v>
      </c>
      <c r="AF9" s="53">
        <f>'T&amp;M'!AQ13*9</f>
        <v>0</v>
      </c>
      <c r="AG9" s="53">
        <f>'T&amp;M'!AR13*9</f>
        <v>0</v>
      </c>
      <c r="AH9" s="53">
        <f>'T&amp;M'!AS13*9</f>
        <v>0</v>
      </c>
      <c r="AI9" s="53">
        <f>'T&amp;M'!AT13*9</f>
        <v>0</v>
      </c>
      <c r="AJ9" s="53">
        <f>'T&amp;M'!AU13*9</f>
        <v>0</v>
      </c>
      <c r="AK9" s="53">
        <f>'T&amp;M'!AV13*9</f>
        <v>0</v>
      </c>
      <c r="AL9" s="53">
        <f>'T&amp;M'!AW13*9</f>
        <v>0</v>
      </c>
      <c r="AM9" s="53">
        <f>'T&amp;M'!AX13*9</f>
        <v>0</v>
      </c>
      <c r="AN9" s="53">
        <f>'T&amp;M'!AY13*9</f>
        <v>0</v>
      </c>
      <c r="AO9" s="53">
        <f>'T&amp;M'!AZ13*9</f>
        <v>0</v>
      </c>
      <c r="AP9" s="53">
        <f>'T&amp;M'!BA13*9</f>
        <v>0</v>
      </c>
      <c r="AQ9" s="53">
        <f>'T&amp;M'!BB13*9</f>
        <v>0</v>
      </c>
      <c r="AR9" s="53">
        <f>'T&amp;M'!BC13*9</f>
        <v>0</v>
      </c>
      <c r="AS9" s="53">
        <f>'T&amp;M'!BD13*9</f>
        <v>0</v>
      </c>
      <c r="AT9" s="53">
        <f>'T&amp;M'!BE13*9</f>
        <v>0</v>
      </c>
      <c r="AU9" s="53">
        <f>'T&amp;M'!BF13*9</f>
        <v>0</v>
      </c>
      <c r="AV9" s="53">
        <f>'T&amp;M'!BG13*9</f>
        <v>0</v>
      </c>
      <c r="AW9" s="53">
        <f>'T&amp;M'!BH13*9</f>
        <v>0</v>
      </c>
      <c r="AX9" s="53">
        <f>'T&amp;M'!BI13*9</f>
        <v>0</v>
      </c>
      <c r="AY9" s="53">
        <f>'T&amp;M'!BJ13*9</f>
        <v>0</v>
      </c>
      <c r="AZ9" s="53">
        <f>'T&amp;M'!BK13*9</f>
        <v>0</v>
      </c>
      <c r="BA9" s="53">
        <f>'T&amp;M'!BL13*9</f>
        <v>0</v>
      </c>
    </row>
    <row r="10" spans="1:53" ht="13" x14ac:dyDescent="0.45">
      <c r="A10" s="45">
        <f>'T&amp;M'!C14</f>
        <v>0</v>
      </c>
      <c r="B10" s="53">
        <f>'T&amp;M'!M14*9</f>
        <v>0</v>
      </c>
      <c r="C10" s="53">
        <f>'T&amp;M'!N14*9</f>
        <v>0</v>
      </c>
      <c r="D10" s="53">
        <f>'T&amp;M'!O14*9</f>
        <v>0</v>
      </c>
      <c r="E10" s="53">
        <f>'T&amp;M'!P14*9</f>
        <v>0</v>
      </c>
      <c r="F10" s="53">
        <f>'T&amp;M'!Q14*9</f>
        <v>0</v>
      </c>
      <c r="G10" s="53">
        <f>'T&amp;M'!R14*9</f>
        <v>0</v>
      </c>
      <c r="H10" s="53">
        <f>'T&amp;M'!S14*9</f>
        <v>0</v>
      </c>
      <c r="I10" s="53">
        <f>'T&amp;M'!T14*9</f>
        <v>0</v>
      </c>
      <c r="J10" s="53">
        <f>'T&amp;M'!U14*9</f>
        <v>0</v>
      </c>
      <c r="K10" s="53">
        <f>'T&amp;M'!V14*9</f>
        <v>0</v>
      </c>
      <c r="L10" s="53">
        <f>'T&amp;M'!W14*9</f>
        <v>0</v>
      </c>
      <c r="M10" s="53">
        <f>'T&amp;M'!X14*9</f>
        <v>0</v>
      </c>
      <c r="N10" s="53">
        <f>'T&amp;M'!Y14*9</f>
        <v>0</v>
      </c>
      <c r="O10" s="53">
        <f>'T&amp;M'!Z14*9</f>
        <v>0</v>
      </c>
      <c r="P10" s="53">
        <f>'T&amp;M'!AA14*9</f>
        <v>0</v>
      </c>
      <c r="Q10" s="53">
        <f>'T&amp;M'!AB14*9</f>
        <v>0</v>
      </c>
      <c r="R10" s="53">
        <f>'T&amp;M'!AC14*9</f>
        <v>0</v>
      </c>
      <c r="S10" s="53">
        <f>'T&amp;M'!AD14*9</f>
        <v>0</v>
      </c>
      <c r="T10" s="53">
        <f>'T&amp;M'!AE14*9</f>
        <v>0</v>
      </c>
      <c r="U10" s="53">
        <f>'T&amp;M'!AF14*9</f>
        <v>0</v>
      </c>
      <c r="V10" s="53">
        <f>'T&amp;M'!AG14*9</f>
        <v>0</v>
      </c>
      <c r="W10" s="53">
        <f>'T&amp;M'!AH14*9</f>
        <v>0</v>
      </c>
      <c r="X10" s="53">
        <f>'T&amp;M'!AI14*9</f>
        <v>0</v>
      </c>
      <c r="Y10" s="53">
        <f>'T&amp;M'!AJ14*9</f>
        <v>0</v>
      </c>
      <c r="Z10" s="53">
        <f>'T&amp;M'!AK14*9</f>
        <v>0</v>
      </c>
      <c r="AA10" s="53">
        <f>'T&amp;M'!AL14*9</f>
        <v>0</v>
      </c>
      <c r="AB10" s="53">
        <f>'T&amp;M'!AM14*9</f>
        <v>0</v>
      </c>
      <c r="AC10" s="53">
        <f>'T&amp;M'!AN14*9</f>
        <v>0</v>
      </c>
      <c r="AD10" s="53">
        <f>'T&amp;M'!AO14*9</f>
        <v>0</v>
      </c>
      <c r="AE10" s="53">
        <f>'T&amp;M'!AP14*9</f>
        <v>0</v>
      </c>
      <c r="AF10" s="53">
        <f>'T&amp;M'!AQ14*9</f>
        <v>0</v>
      </c>
      <c r="AG10" s="53">
        <f>'T&amp;M'!AR14*9</f>
        <v>0</v>
      </c>
      <c r="AH10" s="53">
        <f>'T&amp;M'!AS14*9</f>
        <v>0</v>
      </c>
      <c r="AI10" s="53">
        <f>'T&amp;M'!AT14*9</f>
        <v>0</v>
      </c>
      <c r="AJ10" s="53">
        <f>'T&amp;M'!AU14*9</f>
        <v>0</v>
      </c>
      <c r="AK10" s="53">
        <f>'T&amp;M'!AV14*9</f>
        <v>0</v>
      </c>
      <c r="AL10" s="53">
        <f>'T&amp;M'!AW14*9</f>
        <v>0</v>
      </c>
      <c r="AM10" s="53">
        <f>'T&amp;M'!AX14*9</f>
        <v>0</v>
      </c>
      <c r="AN10" s="53">
        <f>'T&amp;M'!AY14*9</f>
        <v>0</v>
      </c>
      <c r="AO10" s="53">
        <f>'T&amp;M'!AZ14*9</f>
        <v>0</v>
      </c>
      <c r="AP10" s="53">
        <f>'T&amp;M'!BA14*9</f>
        <v>0</v>
      </c>
      <c r="AQ10" s="53">
        <f>'T&amp;M'!BB14*9</f>
        <v>0</v>
      </c>
      <c r="AR10" s="53">
        <f>'T&amp;M'!BC14*9</f>
        <v>0</v>
      </c>
      <c r="AS10" s="53">
        <f>'T&amp;M'!BD14*9</f>
        <v>0</v>
      </c>
      <c r="AT10" s="53">
        <f>'T&amp;M'!BE14*9</f>
        <v>0</v>
      </c>
      <c r="AU10" s="53">
        <f>'T&amp;M'!BF14*9</f>
        <v>0</v>
      </c>
      <c r="AV10" s="53">
        <f>'T&amp;M'!BG14*9</f>
        <v>0</v>
      </c>
      <c r="AW10" s="53">
        <f>'T&amp;M'!BH14*9</f>
        <v>0</v>
      </c>
      <c r="AX10" s="53">
        <f>'T&amp;M'!BI14*9</f>
        <v>0</v>
      </c>
      <c r="AY10" s="53">
        <f>'T&amp;M'!BJ14*9</f>
        <v>0</v>
      </c>
      <c r="AZ10" s="53">
        <f>'T&amp;M'!BK14*9</f>
        <v>0</v>
      </c>
      <c r="BA10" s="53">
        <f>'T&amp;M'!BL14*9</f>
        <v>0</v>
      </c>
    </row>
    <row r="11" spans="1:53" ht="13" x14ac:dyDescent="0.45">
      <c r="A11" s="45">
        <f>'T&amp;M'!C15</f>
        <v>0</v>
      </c>
      <c r="B11" s="53">
        <f>'T&amp;M'!M15*9</f>
        <v>0</v>
      </c>
      <c r="C11" s="53">
        <f>'T&amp;M'!N15*9</f>
        <v>0</v>
      </c>
      <c r="D11" s="53">
        <f>'T&amp;M'!O15*9</f>
        <v>0</v>
      </c>
      <c r="E11" s="53">
        <f>'T&amp;M'!P15*9</f>
        <v>0</v>
      </c>
      <c r="F11" s="53">
        <f>'T&amp;M'!Q15*9</f>
        <v>0</v>
      </c>
      <c r="G11" s="53">
        <f>'T&amp;M'!R15*9</f>
        <v>0</v>
      </c>
      <c r="H11" s="53">
        <f>'T&amp;M'!S15*9</f>
        <v>0</v>
      </c>
      <c r="I11" s="53">
        <f>'T&amp;M'!T15*9</f>
        <v>0</v>
      </c>
      <c r="J11" s="53">
        <f>'T&amp;M'!U15*9</f>
        <v>0</v>
      </c>
      <c r="K11" s="53">
        <f>'T&amp;M'!V15*9</f>
        <v>0</v>
      </c>
      <c r="L11" s="53">
        <f>'T&amp;M'!W15*9</f>
        <v>0</v>
      </c>
      <c r="M11" s="53">
        <f>'T&amp;M'!X15*9</f>
        <v>0</v>
      </c>
      <c r="N11" s="53">
        <f>'T&amp;M'!Y15*9</f>
        <v>0</v>
      </c>
      <c r="O11" s="53">
        <f>'T&amp;M'!Z15*9</f>
        <v>0</v>
      </c>
      <c r="P11" s="53">
        <f>'T&amp;M'!AA15*9</f>
        <v>0</v>
      </c>
      <c r="Q11" s="53">
        <f>'T&amp;M'!AB15*9</f>
        <v>0</v>
      </c>
      <c r="R11" s="53">
        <f>'T&amp;M'!AC15*9</f>
        <v>0</v>
      </c>
      <c r="S11" s="53">
        <f>'T&amp;M'!AD15*9</f>
        <v>0</v>
      </c>
      <c r="T11" s="53">
        <f>'T&amp;M'!AE15*9</f>
        <v>0</v>
      </c>
      <c r="U11" s="53">
        <f>'T&amp;M'!AF15*9</f>
        <v>0</v>
      </c>
      <c r="V11" s="53">
        <f>'T&amp;M'!AG15*9</f>
        <v>0</v>
      </c>
      <c r="W11" s="53">
        <f>'T&amp;M'!AH15*9</f>
        <v>0</v>
      </c>
      <c r="X11" s="53">
        <f>'T&amp;M'!AI15*9</f>
        <v>0</v>
      </c>
      <c r="Y11" s="53">
        <f>'T&amp;M'!AJ15*9</f>
        <v>0</v>
      </c>
      <c r="Z11" s="53">
        <f>'T&amp;M'!AK15*9</f>
        <v>0</v>
      </c>
      <c r="AA11" s="53">
        <f>'T&amp;M'!AL15*9</f>
        <v>0</v>
      </c>
      <c r="AB11" s="53">
        <f>'T&amp;M'!AM15*9</f>
        <v>0</v>
      </c>
      <c r="AC11" s="53">
        <f>'T&amp;M'!AN15*9</f>
        <v>0</v>
      </c>
      <c r="AD11" s="53">
        <f>'T&amp;M'!AO15*9</f>
        <v>0</v>
      </c>
      <c r="AE11" s="53">
        <f>'T&amp;M'!AP15*9</f>
        <v>0</v>
      </c>
      <c r="AF11" s="53">
        <f>'T&amp;M'!AQ15*9</f>
        <v>0</v>
      </c>
      <c r="AG11" s="53">
        <f>'T&amp;M'!AR15*9</f>
        <v>0</v>
      </c>
      <c r="AH11" s="53">
        <f>'T&amp;M'!AS15*9</f>
        <v>0</v>
      </c>
      <c r="AI11" s="53">
        <f>'T&amp;M'!AT15*9</f>
        <v>0</v>
      </c>
      <c r="AJ11" s="53">
        <f>'T&amp;M'!AU15*9</f>
        <v>0</v>
      </c>
      <c r="AK11" s="53">
        <f>'T&amp;M'!AV15*9</f>
        <v>0</v>
      </c>
      <c r="AL11" s="53">
        <f>'T&amp;M'!AW15*9</f>
        <v>0</v>
      </c>
      <c r="AM11" s="53">
        <f>'T&amp;M'!AX15*9</f>
        <v>0</v>
      </c>
      <c r="AN11" s="53">
        <f>'T&amp;M'!AY15*9</f>
        <v>0</v>
      </c>
      <c r="AO11" s="53">
        <f>'T&amp;M'!AZ15*9</f>
        <v>0</v>
      </c>
      <c r="AP11" s="53">
        <f>'T&amp;M'!BA15*9</f>
        <v>0</v>
      </c>
      <c r="AQ11" s="53">
        <f>'T&amp;M'!BB15*9</f>
        <v>0</v>
      </c>
      <c r="AR11" s="53">
        <f>'T&amp;M'!BC15*9</f>
        <v>0</v>
      </c>
      <c r="AS11" s="53">
        <f>'T&amp;M'!BD15*9</f>
        <v>0</v>
      </c>
      <c r="AT11" s="53">
        <f>'T&amp;M'!BE15*9</f>
        <v>0</v>
      </c>
      <c r="AU11" s="53">
        <f>'T&amp;M'!BF15*9</f>
        <v>0</v>
      </c>
      <c r="AV11" s="53">
        <f>'T&amp;M'!BG15*9</f>
        <v>0</v>
      </c>
      <c r="AW11" s="53">
        <f>'T&amp;M'!BH15*9</f>
        <v>0</v>
      </c>
      <c r="AX11" s="53">
        <f>'T&amp;M'!BI15*9</f>
        <v>0</v>
      </c>
      <c r="AY11" s="53">
        <f>'T&amp;M'!BJ15*9</f>
        <v>0</v>
      </c>
      <c r="AZ11" s="53">
        <f>'T&amp;M'!BK15*9</f>
        <v>0</v>
      </c>
      <c r="BA11" s="53">
        <f>'T&amp;M'!BL15*9</f>
        <v>0</v>
      </c>
    </row>
    <row r="12" spans="1:53" ht="13" x14ac:dyDescent="0.45">
      <c r="A12" s="45">
        <f>'T&amp;M'!C16</f>
        <v>0</v>
      </c>
      <c r="B12" s="53">
        <f>'T&amp;M'!M16*9</f>
        <v>0</v>
      </c>
      <c r="C12" s="53">
        <f>'T&amp;M'!N16*9</f>
        <v>0</v>
      </c>
      <c r="D12" s="53">
        <f>'T&amp;M'!O16*9</f>
        <v>0</v>
      </c>
      <c r="E12" s="53">
        <f>'T&amp;M'!P16*9</f>
        <v>0</v>
      </c>
      <c r="F12" s="53">
        <f>'T&amp;M'!Q16*9</f>
        <v>0</v>
      </c>
      <c r="G12" s="53">
        <f>'T&amp;M'!R16*9</f>
        <v>0</v>
      </c>
      <c r="H12" s="53">
        <f>'T&amp;M'!S16*9</f>
        <v>0</v>
      </c>
      <c r="I12" s="53">
        <f>'T&amp;M'!T16*9</f>
        <v>0</v>
      </c>
      <c r="J12" s="53">
        <f>'T&amp;M'!U16*9</f>
        <v>0</v>
      </c>
      <c r="K12" s="53">
        <f>'T&amp;M'!V16*9</f>
        <v>0</v>
      </c>
      <c r="L12" s="53">
        <f>'T&amp;M'!W16*9</f>
        <v>0</v>
      </c>
      <c r="M12" s="53">
        <f>'T&amp;M'!X16*9</f>
        <v>0</v>
      </c>
      <c r="N12" s="53">
        <f>'T&amp;M'!Y16*9</f>
        <v>0</v>
      </c>
      <c r="O12" s="53">
        <f>'T&amp;M'!Z16*9</f>
        <v>0</v>
      </c>
      <c r="P12" s="53">
        <f>'T&amp;M'!AA16*9</f>
        <v>0</v>
      </c>
      <c r="Q12" s="53">
        <f>'T&amp;M'!AB16*9</f>
        <v>0</v>
      </c>
      <c r="R12" s="53">
        <f>'T&amp;M'!AC16*9</f>
        <v>0</v>
      </c>
      <c r="S12" s="53">
        <f>'T&amp;M'!AD16*9</f>
        <v>0</v>
      </c>
      <c r="T12" s="53">
        <f>'T&amp;M'!AE16*9</f>
        <v>0</v>
      </c>
      <c r="U12" s="53">
        <f>'T&amp;M'!AF16*9</f>
        <v>0</v>
      </c>
      <c r="V12" s="53">
        <f>'T&amp;M'!AG16*9</f>
        <v>0</v>
      </c>
      <c r="W12" s="53">
        <f>'T&amp;M'!AH16*9</f>
        <v>0</v>
      </c>
      <c r="X12" s="53">
        <f>'T&amp;M'!AI16*9</f>
        <v>0</v>
      </c>
      <c r="Y12" s="53">
        <f>'T&amp;M'!AJ16*9</f>
        <v>0</v>
      </c>
      <c r="Z12" s="53">
        <f>'T&amp;M'!AK16*9</f>
        <v>0</v>
      </c>
      <c r="AA12" s="53">
        <f>'T&amp;M'!AL16*9</f>
        <v>0</v>
      </c>
      <c r="AB12" s="53">
        <f>'T&amp;M'!AM16*9</f>
        <v>0</v>
      </c>
      <c r="AC12" s="53">
        <f>'T&amp;M'!AN16*9</f>
        <v>0</v>
      </c>
      <c r="AD12" s="53">
        <f>'T&amp;M'!AO16*9</f>
        <v>0</v>
      </c>
      <c r="AE12" s="53">
        <f>'T&amp;M'!AP16*9</f>
        <v>0</v>
      </c>
      <c r="AF12" s="53">
        <f>'T&amp;M'!AQ16*9</f>
        <v>0</v>
      </c>
      <c r="AG12" s="53">
        <f>'T&amp;M'!AR16*9</f>
        <v>0</v>
      </c>
      <c r="AH12" s="53">
        <f>'T&amp;M'!AS16*9</f>
        <v>0</v>
      </c>
      <c r="AI12" s="53">
        <f>'T&amp;M'!AT16*9</f>
        <v>0</v>
      </c>
      <c r="AJ12" s="53">
        <f>'T&amp;M'!AU16*9</f>
        <v>0</v>
      </c>
      <c r="AK12" s="53">
        <f>'T&amp;M'!AV16*9</f>
        <v>0</v>
      </c>
      <c r="AL12" s="53">
        <f>'T&amp;M'!AW16*9</f>
        <v>0</v>
      </c>
      <c r="AM12" s="53">
        <f>'T&amp;M'!AX16*9</f>
        <v>0</v>
      </c>
      <c r="AN12" s="53">
        <f>'T&amp;M'!AY16*9</f>
        <v>0</v>
      </c>
      <c r="AO12" s="53">
        <f>'T&amp;M'!AZ16*9</f>
        <v>0</v>
      </c>
      <c r="AP12" s="53">
        <f>'T&amp;M'!BA16*9</f>
        <v>0</v>
      </c>
      <c r="AQ12" s="53">
        <f>'T&amp;M'!BB16*9</f>
        <v>0</v>
      </c>
      <c r="AR12" s="53">
        <f>'T&amp;M'!BC16*9</f>
        <v>0</v>
      </c>
      <c r="AS12" s="53">
        <f>'T&amp;M'!BD16*9</f>
        <v>0</v>
      </c>
      <c r="AT12" s="53">
        <f>'T&amp;M'!BE16*9</f>
        <v>0</v>
      </c>
      <c r="AU12" s="53">
        <f>'T&amp;M'!BF16*9</f>
        <v>0</v>
      </c>
      <c r="AV12" s="53">
        <f>'T&amp;M'!BG16*9</f>
        <v>0</v>
      </c>
      <c r="AW12" s="53">
        <f>'T&amp;M'!BH16*9</f>
        <v>0</v>
      </c>
      <c r="AX12" s="53">
        <f>'T&amp;M'!BI16*9</f>
        <v>0</v>
      </c>
      <c r="AY12" s="53">
        <f>'T&amp;M'!BJ16*9</f>
        <v>0</v>
      </c>
      <c r="AZ12" s="53">
        <f>'T&amp;M'!BK16*9</f>
        <v>0</v>
      </c>
      <c r="BA12" s="53">
        <f>'T&amp;M'!BL16*9</f>
        <v>0</v>
      </c>
    </row>
    <row r="13" spans="1:53" ht="13" x14ac:dyDescent="0.45">
      <c r="A13" s="45">
        <f>'T&amp;M'!C17</f>
        <v>0</v>
      </c>
      <c r="B13" s="53">
        <f>'T&amp;M'!M17*9</f>
        <v>0</v>
      </c>
      <c r="C13" s="53">
        <f>'T&amp;M'!N17*9</f>
        <v>0</v>
      </c>
      <c r="D13" s="53">
        <f>'T&amp;M'!O17*9</f>
        <v>0</v>
      </c>
      <c r="E13" s="53">
        <f>'T&amp;M'!P17*9</f>
        <v>0</v>
      </c>
      <c r="F13" s="53">
        <f>'T&amp;M'!Q17*9</f>
        <v>0</v>
      </c>
      <c r="G13" s="53">
        <f>'T&amp;M'!R17*9</f>
        <v>0</v>
      </c>
      <c r="H13" s="53">
        <f>'T&amp;M'!S17*9</f>
        <v>0</v>
      </c>
      <c r="I13" s="53">
        <f>'T&amp;M'!T17*9</f>
        <v>0</v>
      </c>
      <c r="J13" s="53">
        <f>'T&amp;M'!U17*9</f>
        <v>0</v>
      </c>
      <c r="K13" s="53">
        <f>'T&amp;M'!V17*9</f>
        <v>0</v>
      </c>
      <c r="L13" s="53">
        <f>'T&amp;M'!W17*9</f>
        <v>0</v>
      </c>
      <c r="M13" s="53">
        <f>'T&amp;M'!X17*9</f>
        <v>0</v>
      </c>
      <c r="N13" s="53">
        <f>'T&amp;M'!Y17*9</f>
        <v>0</v>
      </c>
      <c r="O13" s="53">
        <f>'T&amp;M'!Z17*9</f>
        <v>0</v>
      </c>
      <c r="P13" s="53">
        <f>'T&amp;M'!AA17*9</f>
        <v>0</v>
      </c>
      <c r="Q13" s="53">
        <f>'T&amp;M'!AB17*9</f>
        <v>0</v>
      </c>
      <c r="R13" s="53">
        <f>'T&amp;M'!AC17*9</f>
        <v>0</v>
      </c>
      <c r="S13" s="53">
        <f>'T&amp;M'!AD17*9</f>
        <v>0</v>
      </c>
      <c r="T13" s="53">
        <f>'T&amp;M'!AE17*9</f>
        <v>0</v>
      </c>
      <c r="U13" s="53">
        <f>'T&amp;M'!AF17*9</f>
        <v>0</v>
      </c>
      <c r="V13" s="53">
        <f>'T&amp;M'!AG17*9</f>
        <v>0</v>
      </c>
      <c r="W13" s="53">
        <f>'T&amp;M'!AH17*9</f>
        <v>0</v>
      </c>
      <c r="X13" s="53">
        <f>'T&amp;M'!AI17*9</f>
        <v>0</v>
      </c>
      <c r="Y13" s="53">
        <f>'T&amp;M'!AJ17*9</f>
        <v>0</v>
      </c>
      <c r="Z13" s="53">
        <f>'T&amp;M'!AK17*9</f>
        <v>0</v>
      </c>
      <c r="AA13" s="53">
        <f>'T&amp;M'!AL17*9</f>
        <v>0</v>
      </c>
      <c r="AB13" s="53">
        <f>'T&amp;M'!AM17*9</f>
        <v>0</v>
      </c>
      <c r="AC13" s="53">
        <f>'T&amp;M'!AN17*9</f>
        <v>0</v>
      </c>
      <c r="AD13" s="53">
        <f>'T&amp;M'!AO17*9</f>
        <v>0</v>
      </c>
      <c r="AE13" s="53">
        <f>'T&amp;M'!AP17*9</f>
        <v>0</v>
      </c>
      <c r="AF13" s="53">
        <f>'T&amp;M'!AQ17*9</f>
        <v>0</v>
      </c>
      <c r="AG13" s="53">
        <f>'T&amp;M'!AR17*9</f>
        <v>0</v>
      </c>
      <c r="AH13" s="53">
        <f>'T&amp;M'!AS17*9</f>
        <v>0</v>
      </c>
      <c r="AI13" s="53">
        <f>'T&amp;M'!AT17*9</f>
        <v>0</v>
      </c>
      <c r="AJ13" s="53">
        <f>'T&amp;M'!AU17*9</f>
        <v>0</v>
      </c>
      <c r="AK13" s="53">
        <f>'T&amp;M'!AV17*9</f>
        <v>0</v>
      </c>
      <c r="AL13" s="53">
        <f>'T&amp;M'!AW17*9</f>
        <v>0</v>
      </c>
      <c r="AM13" s="53">
        <f>'T&amp;M'!AX17*9</f>
        <v>0</v>
      </c>
      <c r="AN13" s="53">
        <f>'T&amp;M'!AY17*9</f>
        <v>0</v>
      </c>
      <c r="AO13" s="53">
        <f>'T&amp;M'!AZ17*9</f>
        <v>0</v>
      </c>
      <c r="AP13" s="53">
        <f>'T&amp;M'!BA17*9</f>
        <v>0</v>
      </c>
      <c r="AQ13" s="53">
        <f>'T&amp;M'!BB17*9</f>
        <v>0</v>
      </c>
      <c r="AR13" s="53">
        <f>'T&amp;M'!BC17*9</f>
        <v>0</v>
      </c>
      <c r="AS13" s="53">
        <f>'T&amp;M'!BD17*9</f>
        <v>0</v>
      </c>
      <c r="AT13" s="53">
        <f>'T&amp;M'!BE17*9</f>
        <v>0</v>
      </c>
      <c r="AU13" s="53">
        <f>'T&amp;M'!BF17*9</f>
        <v>0</v>
      </c>
      <c r="AV13" s="53">
        <f>'T&amp;M'!BG17*9</f>
        <v>0</v>
      </c>
      <c r="AW13" s="53">
        <f>'T&amp;M'!BH17*9</f>
        <v>0</v>
      </c>
      <c r="AX13" s="53">
        <f>'T&amp;M'!BI17*9</f>
        <v>0</v>
      </c>
      <c r="AY13" s="53">
        <f>'T&amp;M'!BJ17*9</f>
        <v>0</v>
      </c>
      <c r="AZ13" s="53">
        <f>'T&amp;M'!BK17*9</f>
        <v>0</v>
      </c>
      <c r="BA13" s="53">
        <f>'T&amp;M'!BL17*9</f>
        <v>0</v>
      </c>
    </row>
    <row r="14" spans="1:53" ht="13" x14ac:dyDescent="0.45">
      <c r="A14" s="45">
        <f>'T&amp;M'!C18</f>
        <v>0</v>
      </c>
      <c r="B14" s="53">
        <f>'T&amp;M'!M18*9</f>
        <v>0</v>
      </c>
      <c r="C14" s="53">
        <f>'T&amp;M'!N18*9</f>
        <v>0</v>
      </c>
      <c r="D14" s="53">
        <f>'T&amp;M'!O18*9</f>
        <v>0</v>
      </c>
      <c r="E14" s="53">
        <f>'T&amp;M'!P18*9</f>
        <v>0</v>
      </c>
      <c r="F14" s="53">
        <f>'T&amp;M'!Q18*9</f>
        <v>0</v>
      </c>
      <c r="G14" s="53">
        <f>'T&amp;M'!R18*9</f>
        <v>0</v>
      </c>
      <c r="H14" s="53">
        <f>'T&amp;M'!S18*9</f>
        <v>0</v>
      </c>
      <c r="I14" s="53">
        <f>'T&amp;M'!T18*9</f>
        <v>0</v>
      </c>
      <c r="J14" s="53">
        <f>'T&amp;M'!U18*9</f>
        <v>0</v>
      </c>
      <c r="K14" s="53">
        <f>'T&amp;M'!V18*9</f>
        <v>0</v>
      </c>
      <c r="L14" s="53">
        <f>'T&amp;M'!W18*9</f>
        <v>0</v>
      </c>
      <c r="M14" s="53">
        <f>'T&amp;M'!X18*9</f>
        <v>0</v>
      </c>
      <c r="N14" s="53">
        <f>'T&amp;M'!Y18*9</f>
        <v>0</v>
      </c>
      <c r="O14" s="53">
        <f>'T&amp;M'!Z18*9</f>
        <v>0</v>
      </c>
      <c r="P14" s="53">
        <f>'T&amp;M'!AA18*9</f>
        <v>0</v>
      </c>
      <c r="Q14" s="53">
        <f>'T&amp;M'!AB18*9</f>
        <v>0</v>
      </c>
      <c r="R14" s="53">
        <f>'T&amp;M'!AC18*9</f>
        <v>0</v>
      </c>
      <c r="S14" s="53">
        <f>'T&amp;M'!AD18*9</f>
        <v>0</v>
      </c>
      <c r="T14" s="53">
        <f>'T&amp;M'!AE18*9</f>
        <v>0</v>
      </c>
      <c r="U14" s="53">
        <f>'T&amp;M'!AF18*9</f>
        <v>0</v>
      </c>
      <c r="V14" s="53">
        <f>'T&amp;M'!AG18*9</f>
        <v>0</v>
      </c>
      <c r="W14" s="53">
        <f>'T&amp;M'!AH18*9</f>
        <v>0</v>
      </c>
      <c r="X14" s="53">
        <f>'T&amp;M'!AI18*9</f>
        <v>0</v>
      </c>
      <c r="Y14" s="53">
        <f>'T&amp;M'!AJ18*9</f>
        <v>0</v>
      </c>
      <c r="Z14" s="53">
        <f>'T&amp;M'!AK18*9</f>
        <v>0</v>
      </c>
      <c r="AA14" s="53">
        <f>'T&amp;M'!AL18*9</f>
        <v>0</v>
      </c>
      <c r="AB14" s="53">
        <f>'T&amp;M'!AM18*9</f>
        <v>0</v>
      </c>
      <c r="AC14" s="53">
        <f>'T&amp;M'!AN18*9</f>
        <v>0</v>
      </c>
      <c r="AD14" s="53">
        <f>'T&amp;M'!AO18*9</f>
        <v>0</v>
      </c>
      <c r="AE14" s="53">
        <f>'T&amp;M'!AP18*9</f>
        <v>0</v>
      </c>
      <c r="AF14" s="53">
        <f>'T&amp;M'!AQ18*9</f>
        <v>0</v>
      </c>
      <c r="AG14" s="53">
        <f>'T&amp;M'!AR18*9</f>
        <v>0</v>
      </c>
      <c r="AH14" s="53">
        <f>'T&amp;M'!AS18*9</f>
        <v>0</v>
      </c>
      <c r="AI14" s="53">
        <f>'T&amp;M'!AT18*9</f>
        <v>0</v>
      </c>
      <c r="AJ14" s="53">
        <f>'T&amp;M'!AU18*9</f>
        <v>0</v>
      </c>
      <c r="AK14" s="53">
        <f>'T&amp;M'!AV18*9</f>
        <v>0</v>
      </c>
      <c r="AL14" s="53">
        <f>'T&amp;M'!AW18*9</f>
        <v>0</v>
      </c>
      <c r="AM14" s="53">
        <f>'T&amp;M'!AX18*9</f>
        <v>0</v>
      </c>
      <c r="AN14" s="53">
        <f>'T&amp;M'!AY18*9</f>
        <v>0</v>
      </c>
      <c r="AO14" s="53">
        <f>'T&amp;M'!AZ18*9</f>
        <v>0</v>
      </c>
      <c r="AP14" s="53">
        <f>'T&amp;M'!BA18*9</f>
        <v>0</v>
      </c>
      <c r="AQ14" s="53">
        <f>'T&amp;M'!BB18*9</f>
        <v>0</v>
      </c>
      <c r="AR14" s="53">
        <f>'T&amp;M'!BC18*9</f>
        <v>0</v>
      </c>
      <c r="AS14" s="53">
        <f>'T&amp;M'!BD18*9</f>
        <v>0</v>
      </c>
      <c r="AT14" s="53">
        <f>'T&amp;M'!BE18*9</f>
        <v>0</v>
      </c>
      <c r="AU14" s="53">
        <f>'T&amp;M'!BF18*9</f>
        <v>0</v>
      </c>
      <c r="AV14" s="53">
        <f>'T&amp;M'!BG18*9</f>
        <v>0</v>
      </c>
      <c r="AW14" s="53">
        <f>'T&amp;M'!BH18*9</f>
        <v>0</v>
      </c>
      <c r="AX14" s="53">
        <f>'T&amp;M'!BI18*9</f>
        <v>0</v>
      </c>
      <c r="AY14" s="53">
        <f>'T&amp;M'!BJ18*9</f>
        <v>0</v>
      </c>
      <c r="AZ14" s="53">
        <f>'T&amp;M'!BK18*9</f>
        <v>0</v>
      </c>
      <c r="BA14" s="53">
        <f>'T&amp;M'!BL18*9</f>
        <v>0</v>
      </c>
    </row>
    <row r="15" spans="1:53" ht="13" x14ac:dyDescent="0.45">
      <c r="A15" s="45">
        <f>'T&amp;M'!C19</f>
        <v>0</v>
      </c>
      <c r="B15" s="53">
        <f>'T&amp;M'!M19*9</f>
        <v>0</v>
      </c>
      <c r="C15" s="53">
        <f>'T&amp;M'!N19*9</f>
        <v>0</v>
      </c>
      <c r="D15" s="53">
        <f>'T&amp;M'!O19*9</f>
        <v>0</v>
      </c>
      <c r="E15" s="53">
        <f>'T&amp;M'!P19*9</f>
        <v>0</v>
      </c>
      <c r="F15" s="53">
        <f>'T&amp;M'!Q19*9</f>
        <v>0</v>
      </c>
      <c r="G15" s="53">
        <f>'T&amp;M'!R19*9</f>
        <v>0</v>
      </c>
      <c r="H15" s="53">
        <f>'T&amp;M'!S19*9</f>
        <v>0</v>
      </c>
      <c r="I15" s="53">
        <f>'T&amp;M'!T19*9</f>
        <v>0</v>
      </c>
      <c r="J15" s="53">
        <f>'T&amp;M'!U19*9</f>
        <v>0</v>
      </c>
      <c r="K15" s="53">
        <f>'T&amp;M'!V19*9</f>
        <v>0</v>
      </c>
      <c r="L15" s="53">
        <f>'T&amp;M'!W19*9</f>
        <v>0</v>
      </c>
      <c r="M15" s="53">
        <f>'T&amp;M'!X19*9</f>
        <v>0</v>
      </c>
      <c r="N15" s="53">
        <f>'T&amp;M'!Y19*9</f>
        <v>0</v>
      </c>
      <c r="O15" s="53">
        <f>'T&amp;M'!Z19*9</f>
        <v>0</v>
      </c>
      <c r="P15" s="53">
        <f>'T&amp;M'!AA19*9</f>
        <v>0</v>
      </c>
      <c r="Q15" s="53">
        <f>'T&amp;M'!AB19*9</f>
        <v>0</v>
      </c>
      <c r="R15" s="53">
        <f>'T&amp;M'!AC19*9</f>
        <v>0</v>
      </c>
      <c r="S15" s="53">
        <f>'T&amp;M'!AD19*9</f>
        <v>0</v>
      </c>
      <c r="T15" s="53">
        <f>'T&amp;M'!AE19*9</f>
        <v>0</v>
      </c>
      <c r="U15" s="53">
        <f>'T&amp;M'!AF19*9</f>
        <v>0</v>
      </c>
      <c r="V15" s="53">
        <f>'T&amp;M'!AG19*9</f>
        <v>0</v>
      </c>
      <c r="W15" s="53">
        <f>'T&amp;M'!AH19*9</f>
        <v>0</v>
      </c>
      <c r="X15" s="53">
        <f>'T&amp;M'!AI19*9</f>
        <v>0</v>
      </c>
      <c r="Y15" s="53">
        <f>'T&amp;M'!AJ19*9</f>
        <v>0</v>
      </c>
      <c r="Z15" s="53">
        <f>'T&amp;M'!AK19*9</f>
        <v>0</v>
      </c>
      <c r="AA15" s="53">
        <f>'T&amp;M'!AL19*9</f>
        <v>0</v>
      </c>
      <c r="AB15" s="53">
        <f>'T&amp;M'!AM19*9</f>
        <v>0</v>
      </c>
      <c r="AC15" s="53">
        <f>'T&amp;M'!AN19*9</f>
        <v>0</v>
      </c>
      <c r="AD15" s="53">
        <f>'T&amp;M'!AO19*9</f>
        <v>0</v>
      </c>
      <c r="AE15" s="53">
        <f>'T&amp;M'!AP19*9</f>
        <v>0</v>
      </c>
      <c r="AF15" s="53">
        <f>'T&amp;M'!AQ19*9</f>
        <v>0</v>
      </c>
      <c r="AG15" s="53">
        <f>'T&amp;M'!AR19*9</f>
        <v>0</v>
      </c>
      <c r="AH15" s="53">
        <f>'T&amp;M'!AS19*9</f>
        <v>0</v>
      </c>
      <c r="AI15" s="53">
        <f>'T&amp;M'!AT19*9</f>
        <v>0</v>
      </c>
      <c r="AJ15" s="53">
        <f>'T&amp;M'!AU19*9</f>
        <v>0</v>
      </c>
      <c r="AK15" s="53">
        <f>'T&amp;M'!AV19*9</f>
        <v>0</v>
      </c>
      <c r="AL15" s="53">
        <f>'T&amp;M'!AW19*9</f>
        <v>0</v>
      </c>
      <c r="AM15" s="53">
        <f>'T&amp;M'!AX19*9</f>
        <v>0</v>
      </c>
      <c r="AN15" s="53">
        <f>'T&amp;M'!AY19*9</f>
        <v>0</v>
      </c>
      <c r="AO15" s="53">
        <f>'T&amp;M'!AZ19*9</f>
        <v>0</v>
      </c>
      <c r="AP15" s="53">
        <f>'T&amp;M'!BA19*9</f>
        <v>0</v>
      </c>
      <c r="AQ15" s="53">
        <f>'T&amp;M'!BB19*9</f>
        <v>0</v>
      </c>
      <c r="AR15" s="53">
        <f>'T&amp;M'!BC19*9</f>
        <v>0</v>
      </c>
      <c r="AS15" s="53">
        <f>'T&amp;M'!BD19*9</f>
        <v>0</v>
      </c>
      <c r="AT15" s="53">
        <f>'T&amp;M'!BE19*9</f>
        <v>0</v>
      </c>
      <c r="AU15" s="53">
        <f>'T&amp;M'!BF19*9</f>
        <v>0</v>
      </c>
      <c r="AV15" s="53">
        <f>'T&amp;M'!BG19*9</f>
        <v>0</v>
      </c>
      <c r="AW15" s="53">
        <f>'T&amp;M'!BH19*9</f>
        <v>0</v>
      </c>
      <c r="AX15" s="53">
        <f>'T&amp;M'!BI19*9</f>
        <v>0</v>
      </c>
      <c r="AY15" s="53">
        <f>'T&amp;M'!BJ19*9</f>
        <v>0</v>
      </c>
      <c r="AZ15" s="53">
        <f>'T&amp;M'!BK19*9</f>
        <v>0</v>
      </c>
      <c r="BA15" s="53">
        <f>'T&amp;M'!BL19*9</f>
        <v>0</v>
      </c>
    </row>
    <row r="16" spans="1:53" ht="13" x14ac:dyDescent="0.45">
      <c r="A16" s="45">
        <f>'T&amp;M'!C20</f>
        <v>0</v>
      </c>
      <c r="B16" s="53">
        <f>'T&amp;M'!M20*9</f>
        <v>0</v>
      </c>
      <c r="C16" s="53">
        <f>'T&amp;M'!N20*9</f>
        <v>0</v>
      </c>
      <c r="D16" s="53">
        <f>'T&amp;M'!O20*9</f>
        <v>0</v>
      </c>
      <c r="E16" s="53">
        <f>'T&amp;M'!P20*9</f>
        <v>0</v>
      </c>
      <c r="F16" s="53">
        <f>'T&amp;M'!Q20*9</f>
        <v>0</v>
      </c>
      <c r="G16" s="53">
        <f>'T&amp;M'!R20*9</f>
        <v>0</v>
      </c>
      <c r="H16" s="53">
        <f>'T&amp;M'!S20*9</f>
        <v>0</v>
      </c>
      <c r="I16" s="53">
        <f>'T&amp;M'!T20*9</f>
        <v>0</v>
      </c>
      <c r="J16" s="53">
        <f>'T&amp;M'!U20*9</f>
        <v>0</v>
      </c>
      <c r="K16" s="53">
        <f>'T&amp;M'!V20*9</f>
        <v>0</v>
      </c>
      <c r="L16" s="53">
        <f>'T&amp;M'!W20*9</f>
        <v>0</v>
      </c>
      <c r="M16" s="53">
        <f>'T&amp;M'!X20*9</f>
        <v>0</v>
      </c>
      <c r="N16" s="53">
        <f>'T&amp;M'!Y20*9</f>
        <v>0</v>
      </c>
      <c r="O16" s="53">
        <f>'T&amp;M'!Z20*9</f>
        <v>0</v>
      </c>
      <c r="P16" s="53">
        <f>'T&amp;M'!AA20*9</f>
        <v>0</v>
      </c>
      <c r="Q16" s="53">
        <f>'T&amp;M'!AB20*9</f>
        <v>0</v>
      </c>
      <c r="R16" s="53">
        <f>'T&amp;M'!AC20*9</f>
        <v>0</v>
      </c>
      <c r="S16" s="53">
        <f>'T&amp;M'!AD20*9</f>
        <v>0</v>
      </c>
      <c r="T16" s="53">
        <f>'T&amp;M'!AE20*9</f>
        <v>0</v>
      </c>
      <c r="U16" s="53">
        <f>'T&amp;M'!AF20*9</f>
        <v>0</v>
      </c>
      <c r="V16" s="53">
        <f>'T&amp;M'!AG20*9</f>
        <v>0</v>
      </c>
      <c r="W16" s="53">
        <f>'T&amp;M'!AH20*9</f>
        <v>0</v>
      </c>
      <c r="X16" s="53">
        <f>'T&amp;M'!AI20*9</f>
        <v>0</v>
      </c>
      <c r="Y16" s="53">
        <f>'T&amp;M'!AJ20*9</f>
        <v>0</v>
      </c>
      <c r="Z16" s="53">
        <f>'T&amp;M'!AK20*9</f>
        <v>0</v>
      </c>
      <c r="AA16" s="53">
        <f>'T&amp;M'!AL20*9</f>
        <v>0</v>
      </c>
      <c r="AB16" s="53">
        <f>'T&amp;M'!AM20*9</f>
        <v>0</v>
      </c>
      <c r="AC16" s="53">
        <f>'T&amp;M'!AN20*9</f>
        <v>0</v>
      </c>
      <c r="AD16" s="53">
        <f>'T&amp;M'!AO20*9</f>
        <v>0</v>
      </c>
      <c r="AE16" s="53">
        <f>'T&amp;M'!AP20*9</f>
        <v>0</v>
      </c>
      <c r="AF16" s="53">
        <f>'T&amp;M'!AQ20*9</f>
        <v>0</v>
      </c>
      <c r="AG16" s="53">
        <f>'T&amp;M'!AR20*9</f>
        <v>0</v>
      </c>
      <c r="AH16" s="53">
        <f>'T&amp;M'!AS20*9</f>
        <v>0</v>
      </c>
      <c r="AI16" s="53">
        <f>'T&amp;M'!AT20*9</f>
        <v>0</v>
      </c>
      <c r="AJ16" s="53">
        <f>'T&amp;M'!AU20*9</f>
        <v>0</v>
      </c>
      <c r="AK16" s="53">
        <f>'T&amp;M'!AV20*9</f>
        <v>0</v>
      </c>
      <c r="AL16" s="53">
        <f>'T&amp;M'!AW20*9</f>
        <v>0</v>
      </c>
      <c r="AM16" s="53">
        <f>'T&amp;M'!AX20*9</f>
        <v>0</v>
      </c>
      <c r="AN16" s="53">
        <f>'T&amp;M'!AY20*9</f>
        <v>0</v>
      </c>
      <c r="AO16" s="53">
        <f>'T&amp;M'!AZ20*9</f>
        <v>0</v>
      </c>
      <c r="AP16" s="53">
        <f>'T&amp;M'!BA20*9</f>
        <v>0</v>
      </c>
      <c r="AQ16" s="53">
        <f>'T&amp;M'!BB20*9</f>
        <v>0</v>
      </c>
      <c r="AR16" s="53">
        <f>'T&amp;M'!BC20*9</f>
        <v>0</v>
      </c>
      <c r="AS16" s="53">
        <f>'T&amp;M'!BD20*9</f>
        <v>0</v>
      </c>
      <c r="AT16" s="53">
        <f>'T&amp;M'!BE20*9</f>
        <v>0</v>
      </c>
      <c r="AU16" s="53">
        <f>'T&amp;M'!BF20*9</f>
        <v>0</v>
      </c>
      <c r="AV16" s="53">
        <f>'T&amp;M'!BG20*9</f>
        <v>0</v>
      </c>
      <c r="AW16" s="53">
        <f>'T&amp;M'!BH20*9</f>
        <v>0</v>
      </c>
      <c r="AX16" s="53">
        <f>'T&amp;M'!BI20*9</f>
        <v>0</v>
      </c>
      <c r="AY16" s="53">
        <f>'T&amp;M'!BJ20*9</f>
        <v>0</v>
      </c>
      <c r="AZ16" s="53">
        <f>'T&amp;M'!BK20*9</f>
        <v>0</v>
      </c>
      <c r="BA16" s="53">
        <f>'T&amp;M'!BL20*9</f>
        <v>0</v>
      </c>
    </row>
    <row r="17" spans="1:53" ht="13" x14ac:dyDescent="0.45">
      <c r="A17" s="45">
        <f>'T&amp;M'!C21</f>
        <v>0</v>
      </c>
      <c r="B17" s="53">
        <f>'T&amp;M'!M21*9</f>
        <v>0</v>
      </c>
      <c r="C17" s="53">
        <f>'T&amp;M'!N21*9</f>
        <v>0</v>
      </c>
      <c r="D17" s="53">
        <f>'T&amp;M'!O21*9</f>
        <v>0</v>
      </c>
      <c r="E17" s="53">
        <f>'T&amp;M'!P21*9</f>
        <v>0</v>
      </c>
      <c r="F17" s="53">
        <f>'T&amp;M'!Q21*9</f>
        <v>0</v>
      </c>
      <c r="G17" s="53">
        <f>'T&amp;M'!R21*9</f>
        <v>0</v>
      </c>
      <c r="H17" s="53">
        <f>'T&amp;M'!S21*9</f>
        <v>0</v>
      </c>
      <c r="I17" s="53">
        <f>'T&amp;M'!T21*9</f>
        <v>0</v>
      </c>
      <c r="J17" s="53">
        <f>'T&amp;M'!U21*9</f>
        <v>0</v>
      </c>
      <c r="K17" s="53">
        <f>'T&amp;M'!V21*9</f>
        <v>0</v>
      </c>
      <c r="L17" s="53">
        <f>'T&amp;M'!W21*9</f>
        <v>0</v>
      </c>
      <c r="M17" s="53">
        <f>'T&amp;M'!X21*9</f>
        <v>0</v>
      </c>
      <c r="N17" s="53">
        <f>'T&amp;M'!Y21*9</f>
        <v>0</v>
      </c>
      <c r="O17" s="53">
        <f>'T&amp;M'!Z21*9</f>
        <v>0</v>
      </c>
      <c r="P17" s="53">
        <f>'T&amp;M'!AA21*9</f>
        <v>0</v>
      </c>
      <c r="Q17" s="53">
        <f>'T&amp;M'!AB21*9</f>
        <v>0</v>
      </c>
      <c r="R17" s="53">
        <f>'T&amp;M'!AC21*9</f>
        <v>0</v>
      </c>
      <c r="S17" s="53">
        <f>'T&amp;M'!AD21*9</f>
        <v>0</v>
      </c>
      <c r="T17" s="53">
        <f>'T&amp;M'!AE21*9</f>
        <v>0</v>
      </c>
      <c r="U17" s="53">
        <f>'T&amp;M'!AF21*9</f>
        <v>0</v>
      </c>
      <c r="V17" s="53">
        <f>'T&amp;M'!AG21*9</f>
        <v>0</v>
      </c>
      <c r="W17" s="53">
        <f>'T&amp;M'!AH21*9</f>
        <v>0</v>
      </c>
      <c r="X17" s="53">
        <f>'T&amp;M'!AI21*9</f>
        <v>0</v>
      </c>
      <c r="Y17" s="53">
        <f>'T&amp;M'!AJ21*9</f>
        <v>0</v>
      </c>
      <c r="Z17" s="53">
        <f>'T&amp;M'!AK21*9</f>
        <v>0</v>
      </c>
      <c r="AA17" s="53">
        <f>'T&amp;M'!AL21*9</f>
        <v>0</v>
      </c>
      <c r="AB17" s="53">
        <f>'T&amp;M'!AM21*9</f>
        <v>0</v>
      </c>
      <c r="AC17" s="53">
        <f>'T&amp;M'!AN21*9</f>
        <v>0</v>
      </c>
      <c r="AD17" s="53">
        <f>'T&amp;M'!AO21*9</f>
        <v>0</v>
      </c>
      <c r="AE17" s="53">
        <f>'T&amp;M'!AP21*9</f>
        <v>0</v>
      </c>
      <c r="AF17" s="53">
        <f>'T&amp;M'!AQ21*9</f>
        <v>0</v>
      </c>
      <c r="AG17" s="53">
        <f>'T&amp;M'!AR21*9</f>
        <v>0</v>
      </c>
      <c r="AH17" s="53">
        <f>'T&amp;M'!AS21*9</f>
        <v>0</v>
      </c>
      <c r="AI17" s="53">
        <f>'T&amp;M'!AT21*9</f>
        <v>0</v>
      </c>
      <c r="AJ17" s="53">
        <f>'T&amp;M'!AU21*9</f>
        <v>0</v>
      </c>
      <c r="AK17" s="53">
        <f>'T&amp;M'!AV21*9</f>
        <v>0</v>
      </c>
      <c r="AL17" s="53">
        <f>'T&amp;M'!AW21*9</f>
        <v>0</v>
      </c>
      <c r="AM17" s="53">
        <f>'T&amp;M'!AX21*9</f>
        <v>0</v>
      </c>
      <c r="AN17" s="53">
        <f>'T&amp;M'!AY21*9</f>
        <v>0</v>
      </c>
      <c r="AO17" s="53">
        <f>'T&amp;M'!AZ21*9</f>
        <v>0</v>
      </c>
      <c r="AP17" s="53">
        <f>'T&amp;M'!BA21*9</f>
        <v>0</v>
      </c>
      <c r="AQ17" s="53">
        <f>'T&amp;M'!BB21*9</f>
        <v>0</v>
      </c>
      <c r="AR17" s="53">
        <f>'T&amp;M'!BC21*9</f>
        <v>0</v>
      </c>
      <c r="AS17" s="53">
        <f>'T&amp;M'!BD21*9</f>
        <v>0</v>
      </c>
      <c r="AT17" s="53">
        <f>'T&amp;M'!BE21*9</f>
        <v>0</v>
      </c>
      <c r="AU17" s="53">
        <f>'T&amp;M'!BF21*9</f>
        <v>0</v>
      </c>
      <c r="AV17" s="53">
        <f>'T&amp;M'!BG21*9</f>
        <v>0</v>
      </c>
      <c r="AW17" s="53">
        <f>'T&amp;M'!BH21*9</f>
        <v>0</v>
      </c>
      <c r="AX17" s="53">
        <f>'T&amp;M'!BI21*9</f>
        <v>0</v>
      </c>
      <c r="AY17" s="53">
        <f>'T&amp;M'!BJ21*9</f>
        <v>0</v>
      </c>
      <c r="AZ17" s="53">
        <f>'T&amp;M'!BK21*9</f>
        <v>0</v>
      </c>
      <c r="BA17" s="53">
        <f>'T&amp;M'!BL21*9</f>
        <v>0</v>
      </c>
    </row>
    <row r="18" spans="1:53" ht="13" x14ac:dyDescent="0.45">
      <c r="A18" s="45">
        <f>'T&amp;M'!C22</f>
        <v>0</v>
      </c>
      <c r="B18" s="53">
        <f>'T&amp;M'!M22*9</f>
        <v>0</v>
      </c>
      <c r="C18" s="53">
        <f>'T&amp;M'!N22*9</f>
        <v>0</v>
      </c>
      <c r="D18" s="53">
        <f>'T&amp;M'!O22*9</f>
        <v>0</v>
      </c>
      <c r="E18" s="53">
        <f>'T&amp;M'!P22*9</f>
        <v>0</v>
      </c>
      <c r="F18" s="53">
        <f>'T&amp;M'!Q22*9</f>
        <v>0</v>
      </c>
      <c r="G18" s="53">
        <f>'T&amp;M'!R22*9</f>
        <v>0</v>
      </c>
      <c r="H18" s="53">
        <f>'T&amp;M'!S22*9</f>
        <v>0</v>
      </c>
      <c r="I18" s="53">
        <f>'T&amp;M'!T22*9</f>
        <v>0</v>
      </c>
      <c r="J18" s="53">
        <f>'T&amp;M'!U22*9</f>
        <v>0</v>
      </c>
      <c r="K18" s="53">
        <f>'T&amp;M'!V22*9</f>
        <v>0</v>
      </c>
      <c r="L18" s="53">
        <f>'T&amp;M'!W22*9</f>
        <v>0</v>
      </c>
      <c r="M18" s="53">
        <f>'T&amp;M'!X22*9</f>
        <v>0</v>
      </c>
      <c r="N18" s="53">
        <f>'T&amp;M'!Y22*9</f>
        <v>0</v>
      </c>
      <c r="O18" s="53">
        <f>'T&amp;M'!Z22*9</f>
        <v>0</v>
      </c>
      <c r="P18" s="53">
        <f>'T&amp;M'!AA22*9</f>
        <v>0</v>
      </c>
      <c r="Q18" s="53">
        <f>'T&amp;M'!AB22*9</f>
        <v>0</v>
      </c>
      <c r="R18" s="53">
        <f>'T&amp;M'!AC22*9</f>
        <v>0</v>
      </c>
      <c r="S18" s="53">
        <f>'T&amp;M'!AD22*9</f>
        <v>0</v>
      </c>
      <c r="T18" s="53">
        <f>'T&amp;M'!AE22*9</f>
        <v>0</v>
      </c>
      <c r="U18" s="53">
        <f>'T&amp;M'!AF22*9</f>
        <v>0</v>
      </c>
      <c r="V18" s="53">
        <f>'T&amp;M'!AG22*9</f>
        <v>0</v>
      </c>
      <c r="W18" s="53">
        <f>'T&amp;M'!AH22*9</f>
        <v>0</v>
      </c>
      <c r="X18" s="53">
        <f>'T&amp;M'!AI22*9</f>
        <v>0</v>
      </c>
      <c r="Y18" s="53">
        <f>'T&amp;M'!AJ22*9</f>
        <v>0</v>
      </c>
      <c r="Z18" s="53">
        <f>'T&amp;M'!AK22*9</f>
        <v>0</v>
      </c>
      <c r="AA18" s="53">
        <f>'T&amp;M'!AL22*9</f>
        <v>0</v>
      </c>
      <c r="AB18" s="53">
        <f>'T&amp;M'!AM22*9</f>
        <v>0</v>
      </c>
      <c r="AC18" s="53">
        <f>'T&amp;M'!AN22*9</f>
        <v>0</v>
      </c>
      <c r="AD18" s="53">
        <f>'T&amp;M'!AO22*9</f>
        <v>0</v>
      </c>
      <c r="AE18" s="53">
        <f>'T&amp;M'!AP22*9</f>
        <v>0</v>
      </c>
      <c r="AF18" s="53">
        <f>'T&amp;M'!AQ22*9</f>
        <v>0</v>
      </c>
      <c r="AG18" s="53">
        <f>'T&amp;M'!AR22*9</f>
        <v>0</v>
      </c>
      <c r="AH18" s="53">
        <f>'T&amp;M'!AS22*9</f>
        <v>0</v>
      </c>
      <c r="AI18" s="53">
        <f>'T&amp;M'!AT22*9</f>
        <v>0</v>
      </c>
      <c r="AJ18" s="53">
        <f>'T&amp;M'!AU22*9</f>
        <v>0</v>
      </c>
      <c r="AK18" s="53">
        <f>'T&amp;M'!AV22*9</f>
        <v>0</v>
      </c>
      <c r="AL18" s="53">
        <f>'T&amp;M'!AW22*9</f>
        <v>0</v>
      </c>
      <c r="AM18" s="53">
        <f>'T&amp;M'!AX22*9</f>
        <v>0</v>
      </c>
      <c r="AN18" s="53">
        <f>'T&amp;M'!AY22*9</f>
        <v>0</v>
      </c>
      <c r="AO18" s="53">
        <f>'T&amp;M'!AZ22*9</f>
        <v>0</v>
      </c>
      <c r="AP18" s="53">
        <f>'T&amp;M'!BA22*9</f>
        <v>0</v>
      </c>
      <c r="AQ18" s="53">
        <f>'T&amp;M'!BB22*9</f>
        <v>0</v>
      </c>
      <c r="AR18" s="53">
        <f>'T&amp;M'!BC22*9</f>
        <v>0</v>
      </c>
      <c r="AS18" s="53">
        <f>'T&amp;M'!BD22*9</f>
        <v>0</v>
      </c>
      <c r="AT18" s="53">
        <f>'T&amp;M'!BE22*9</f>
        <v>0</v>
      </c>
      <c r="AU18" s="53">
        <f>'T&amp;M'!BF22*9</f>
        <v>0</v>
      </c>
      <c r="AV18" s="53">
        <f>'T&amp;M'!BG22*9</f>
        <v>0</v>
      </c>
      <c r="AW18" s="53">
        <f>'T&amp;M'!BH22*9</f>
        <v>0</v>
      </c>
      <c r="AX18" s="53">
        <f>'T&amp;M'!BI22*9</f>
        <v>0</v>
      </c>
      <c r="AY18" s="53">
        <f>'T&amp;M'!BJ22*9</f>
        <v>0</v>
      </c>
      <c r="AZ18" s="53">
        <f>'T&amp;M'!BK22*9</f>
        <v>0</v>
      </c>
      <c r="BA18" s="53">
        <f>'T&amp;M'!BL22*9</f>
        <v>0</v>
      </c>
    </row>
    <row r="19" spans="1:53" ht="13" x14ac:dyDescent="0.45">
      <c r="A19" s="45">
        <f>'T&amp;M'!C23</f>
        <v>0</v>
      </c>
      <c r="B19" s="53">
        <f>'T&amp;M'!M23*9</f>
        <v>0</v>
      </c>
      <c r="C19" s="53">
        <f>'T&amp;M'!N23*9</f>
        <v>0</v>
      </c>
      <c r="D19" s="53">
        <f>'T&amp;M'!O23*9</f>
        <v>0</v>
      </c>
      <c r="E19" s="53">
        <f>'T&amp;M'!P23*9</f>
        <v>0</v>
      </c>
      <c r="F19" s="53">
        <f>'T&amp;M'!Q23*9</f>
        <v>0</v>
      </c>
      <c r="G19" s="53">
        <f>'T&amp;M'!R23*9</f>
        <v>0</v>
      </c>
      <c r="H19" s="53">
        <f>'T&amp;M'!S23*9</f>
        <v>0</v>
      </c>
      <c r="I19" s="53">
        <f>'T&amp;M'!T23*9</f>
        <v>0</v>
      </c>
      <c r="J19" s="53">
        <f>'T&amp;M'!U23*9</f>
        <v>0</v>
      </c>
      <c r="K19" s="53">
        <f>'T&amp;M'!V23*9</f>
        <v>0</v>
      </c>
      <c r="L19" s="53">
        <f>'T&amp;M'!W23*9</f>
        <v>0</v>
      </c>
      <c r="M19" s="53">
        <f>'T&amp;M'!X23*9</f>
        <v>0</v>
      </c>
      <c r="N19" s="53">
        <f>'T&amp;M'!Y23*9</f>
        <v>0</v>
      </c>
      <c r="O19" s="53">
        <f>'T&amp;M'!Z23*9</f>
        <v>0</v>
      </c>
      <c r="P19" s="53">
        <f>'T&amp;M'!AA23*9</f>
        <v>0</v>
      </c>
      <c r="Q19" s="53">
        <f>'T&amp;M'!AB23*9</f>
        <v>0</v>
      </c>
      <c r="R19" s="53">
        <f>'T&amp;M'!AC23*9</f>
        <v>0</v>
      </c>
      <c r="S19" s="53">
        <f>'T&amp;M'!AD23*9</f>
        <v>0</v>
      </c>
      <c r="T19" s="53">
        <f>'T&amp;M'!AE23*9</f>
        <v>0</v>
      </c>
      <c r="U19" s="53">
        <f>'T&amp;M'!AF23*9</f>
        <v>0</v>
      </c>
      <c r="V19" s="53">
        <f>'T&amp;M'!AG23*9</f>
        <v>0</v>
      </c>
      <c r="W19" s="53">
        <f>'T&amp;M'!AH23*9</f>
        <v>0</v>
      </c>
      <c r="X19" s="53">
        <f>'T&amp;M'!AI23*9</f>
        <v>0</v>
      </c>
      <c r="Y19" s="53">
        <f>'T&amp;M'!AJ23*9</f>
        <v>0</v>
      </c>
      <c r="Z19" s="53">
        <f>'T&amp;M'!AK23*9</f>
        <v>0</v>
      </c>
      <c r="AA19" s="53">
        <f>'T&amp;M'!AL23*9</f>
        <v>0</v>
      </c>
      <c r="AB19" s="53">
        <f>'T&amp;M'!AM23*9</f>
        <v>0</v>
      </c>
      <c r="AC19" s="53">
        <f>'T&amp;M'!AN23*9</f>
        <v>0</v>
      </c>
      <c r="AD19" s="53">
        <f>'T&amp;M'!AO23*9</f>
        <v>0</v>
      </c>
      <c r="AE19" s="53">
        <f>'T&amp;M'!AP23*9</f>
        <v>0</v>
      </c>
      <c r="AF19" s="53">
        <f>'T&amp;M'!AQ23*9</f>
        <v>0</v>
      </c>
      <c r="AG19" s="53">
        <f>'T&amp;M'!AR23*9</f>
        <v>0</v>
      </c>
      <c r="AH19" s="53">
        <f>'T&amp;M'!AS23*9</f>
        <v>0</v>
      </c>
      <c r="AI19" s="53">
        <f>'T&amp;M'!AT23*9</f>
        <v>0</v>
      </c>
      <c r="AJ19" s="53">
        <f>'T&amp;M'!AU23*9</f>
        <v>0</v>
      </c>
      <c r="AK19" s="53">
        <f>'T&amp;M'!AV23*9</f>
        <v>0</v>
      </c>
      <c r="AL19" s="53">
        <f>'T&amp;M'!AW23*9</f>
        <v>0</v>
      </c>
      <c r="AM19" s="53">
        <f>'T&amp;M'!AX23*9</f>
        <v>0</v>
      </c>
      <c r="AN19" s="53">
        <f>'T&amp;M'!AY23*9</f>
        <v>0</v>
      </c>
      <c r="AO19" s="53">
        <f>'T&amp;M'!AZ23*9</f>
        <v>0</v>
      </c>
      <c r="AP19" s="53">
        <f>'T&amp;M'!BA23*9</f>
        <v>0</v>
      </c>
      <c r="AQ19" s="53">
        <f>'T&amp;M'!BB23*9</f>
        <v>0</v>
      </c>
      <c r="AR19" s="53">
        <f>'T&amp;M'!BC23*9</f>
        <v>0</v>
      </c>
      <c r="AS19" s="53">
        <f>'T&amp;M'!BD23*9</f>
        <v>0</v>
      </c>
      <c r="AT19" s="53">
        <f>'T&amp;M'!BE23*9</f>
        <v>0</v>
      </c>
      <c r="AU19" s="53">
        <f>'T&amp;M'!BF23*9</f>
        <v>0</v>
      </c>
      <c r="AV19" s="53">
        <f>'T&amp;M'!BG23*9</f>
        <v>0</v>
      </c>
      <c r="AW19" s="53">
        <f>'T&amp;M'!BH23*9</f>
        <v>0</v>
      </c>
      <c r="AX19" s="53">
        <f>'T&amp;M'!BI23*9</f>
        <v>0</v>
      </c>
      <c r="AY19" s="53">
        <f>'T&amp;M'!BJ23*9</f>
        <v>0</v>
      </c>
      <c r="AZ19" s="53">
        <f>'T&amp;M'!BK23*9</f>
        <v>0</v>
      </c>
      <c r="BA19" s="53">
        <f>'T&amp;M'!BL23*9</f>
        <v>0</v>
      </c>
    </row>
    <row r="20" spans="1:53" ht="13" x14ac:dyDescent="0.45">
      <c r="A20" s="45">
        <f>'T&amp;M'!C24</f>
        <v>0</v>
      </c>
      <c r="B20" s="53">
        <f>'T&amp;M'!M24*9</f>
        <v>0</v>
      </c>
      <c r="C20" s="53">
        <f>'T&amp;M'!N24*9</f>
        <v>0</v>
      </c>
      <c r="D20" s="53">
        <f>'T&amp;M'!O24*9</f>
        <v>0</v>
      </c>
      <c r="E20" s="53">
        <f>'T&amp;M'!P24*9</f>
        <v>0</v>
      </c>
      <c r="F20" s="53">
        <f>'T&amp;M'!Q24*9</f>
        <v>0</v>
      </c>
      <c r="G20" s="53">
        <f>'T&amp;M'!R24*9</f>
        <v>0</v>
      </c>
      <c r="H20" s="53">
        <f>'T&amp;M'!S24*9</f>
        <v>0</v>
      </c>
      <c r="I20" s="53">
        <f>'T&amp;M'!T24*9</f>
        <v>0</v>
      </c>
      <c r="J20" s="53">
        <f>'T&amp;M'!U24*9</f>
        <v>0</v>
      </c>
      <c r="K20" s="53">
        <f>'T&amp;M'!V24*9</f>
        <v>0</v>
      </c>
      <c r="L20" s="53">
        <f>'T&amp;M'!W24*9</f>
        <v>0</v>
      </c>
      <c r="M20" s="53">
        <f>'T&amp;M'!X24*9</f>
        <v>0</v>
      </c>
      <c r="N20" s="53">
        <f>'T&amp;M'!Y24*9</f>
        <v>0</v>
      </c>
      <c r="O20" s="53">
        <f>'T&amp;M'!Z24*9</f>
        <v>0</v>
      </c>
      <c r="P20" s="53">
        <f>'T&amp;M'!AA24*9</f>
        <v>0</v>
      </c>
      <c r="Q20" s="53">
        <f>'T&amp;M'!AB24*9</f>
        <v>0</v>
      </c>
      <c r="R20" s="53">
        <f>'T&amp;M'!AC24*9</f>
        <v>0</v>
      </c>
      <c r="S20" s="53">
        <f>'T&amp;M'!AD24*9</f>
        <v>0</v>
      </c>
      <c r="T20" s="53">
        <f>'T&amp;M'!AE24*9</f>
        <v>0</v>
      </c>
      <c r="U20" s="53">
        <f>'T&amp;M'!AF24*9</f>
        <v>0</v>
      </c>
      <c r="V20" s="53">
        <f>'T&amp;M'!AG24*9</f>
        <v>0</v>
      </c>
      <c r="W20" s="53">
        <f>'T&amp;M'!AH24*9</f>
        <v>0</v>
      </c>
      <c r="X20" s="53">
        <f>'T&amp;M'!AI24*9</f>
        <v>0</v>
      </c>
      <c r="Y20" s="53">
        <f>'T&amp;M'!AJ24*9</f>
        <v>0</v>
      </c>
      <c r="Z20" s="53">
        <f>'T&amp;M'!AK24*9</f>
        <v>0</v>
      </c>
      <c r="AA20" s="53">
        <f>'T&amp;M'!AL24*9</f>
        <v>0</v>
      </c>
      <c r="AB20" s="53">
        <f>'T&amp;M'!AM24*9</f>
        <v>0</v>
      </c>
      <c r="AC20" s="53">
        <f>'T&amp;M'!AN24*9</f>
        <v>0</v>
      </c>
      <c r="AD20" s="53">
        <f>'T&amp;M'!AO24*9</f>
        <v>0</v>
      </c>
      <c r="AE20" s="53">
        <f>'T&amp;M'!AP24*9</f>
        <v>0</v>
      </c>
      <c r="AF20" s="53">
        <f>'T&amp;M'!AQ24*9</f>
        <v>0</v>
      </c>
      <c r="AG20" s="53">
        <f>'T&amp;M'!AR24*9</f>
        <v>0</v>
      </c>
      <c r="AH20" s="53">
        <f>'T&amp;M'!AS24*9</f>
        <v>0</v>
      </c>
      <c r="AI20" s="53">
        <f>'T&amp;M'!AT24*9</f>
        <v>0</v>
      </c>
      <c r="AJ20" s="53">
        <f>'T&amp;M'!AU24*9</f>
        <v>0</v>
      </c>
      <c r="AK20" s="53">
        <f>'T&amp;M'!AV24*9</f>
        <v>0</v>
      </c>
      <c r="AL20" s="53">
        <f>'T&amp;M'!AW24*9</f>
        <v>0</v>
      </c>
      <c r="AM20" s="53">
        <f>'T&amp;M'!AX24*9</f>
        <v>0</v>
      </c>
      <c r="AN20" s="53">
        <f>'T&amp;M'!AY24*9</f>
        <v>0</v>
      </c>
      <c r="AO20" s="53">
        <f>'T&amp;M'!AZ24*9</f>
        <v>0</v>
      </c>
      <c r="AP20" s="53">
        <f>'T&amp;M'!BA24*9</f>
        <v>0</v>
      </c>
      <c r="AQ20" s="53">
        <f>'T&amp;M'!BB24*9</f>
        <v>0</v>
      </c>
      <c r="AR20" s="53">
        <f>'T&amp;M'!BC24*9</f>
        <v>0</v>
      </c>
      <c r="AS20" s="53">
        <f>'T&amp;M'!BD24*9</f>
        <v>0</v>
      </c>
      <c r="AT20" s="53">
        <f>'T&amp;M'!BE24*9</f>
        <v>0</v>
      </c>
      <c r="AU20" s="53">
        <f>'T&amp;M'!BF24*9</f>
        <v>0</v>
      </c>
      <c r="AV20" s="53">
        <f>'T&amp;M'!BG24*9</f>
        <v>0</v>
      </c>
      <c r="AW20" s="53">
        <f>'T&amp;M'!BH24*9</f>
        <v>0</v>
      </c>
      <c r="AX20" s="53">
        <f>'T&amp;M'!BI24*9</f>
        <v>0</v>
      </c>
      <c r="AY20" s="53">
        <f>'T&amp;M'!BJ24*9</f>
        <v>0</v>
      </c>
      <c r="AZ20" s="53">
        <f>'T&amp;M'!BK24*9</f>
        <v>0</v>
      </c>
      <c r="BA20" s="53">
        <f>'T&amp;M'!BL24*9</f>
        <v>0</v>
      </c>
    </row>
    <row r="21" spans="1:53" ht="13" x14ac:dyDescent="0.45">
      <c r="A21" s="45">
        <f>'T&amp;M'!C25</f>
        <v>0</v>
      </c>
      <c r="B21" s="53">
        <f>'T&amp;M'!M25*9</f>
        <v>0</v>
      </c>
      <c r="C21" s="53">
        <f>'T&amp;M'!N25*9</f>
        <v>0</v>
      </c>
      <c r="D21" s="53">
        <f>'T&amp;M'!O25*9</f>
        <v>0</v>
      </c>
      <c r="E21" s="53">
        <f>'T&amp;M'!P25*9</f>
        <v>0</v>
      </c>
      <c r="F21" s="53">
        <f>'T&amp;M'!Q25*9</f>
        <v>0</v>
      </c>
      <c r="G21" s="53">
        <f>'T&amp;M'!R25*9</f>
        <v>0</v>
      </c>
      <c r="H21" s="53">
        <f>'T&amp;M'!S25*9</f>
        <v>0</v>
      </c>
      <c r="I21" s="53">
        <f>'T&amp;M'!T25*9</f>
        <v>0</v>
      </c>
      <c r="J21" s="53">
        <f>'T&amp;M'!U25*9</f>
        <v>0</v>
      </c>
      <c r="K21" s="53">
        <f>'T&amp;M'!V25*9</f>
        <v>0</v>
      </c>
      <c r="L21" s="53">
        <f>'T&amp;M'!W25*9</f>
        <v>0</v>
      </c>
      <c r="M21" s="53">
        <f>'T&amp;M'!X25*9</f>
        <v>0</v>
      </c>
      <c r="N21" s="53">
        <f>'T&amp;M'!Y25*9</f>
        <v>0</v>
      </c>
      <c r="O21" s="53">
        <f>'T&amp;M'!Z25*9</f>
        <v>0</v>
      </c>
      <c r="P21" s="53">
        <f>'T&amp;M'!AA25*9</f>
        <v>0</v>
      </c>
      <c r="Q21" s="53">
        <f>'T&amp;M'!AB25*9</f>
        <v>0</v>
      </c>
      <c r="R21" s="53">
        <f>'T&amp;M'!AC25*9</f>
        <v>0</v>
      </c>
      <c r="S21" s="53">
        <f>'T&amp;M'!AD25*9</f>
        <v>0</v>
      </c>
      <c r="T21" s="53">
        <f>'T&amp;M'!AE25*9</f>
        <v>0</v>
      </c>
      <c r="U21" s="53">
        <f>'T&amp;M'!AF25*9</f>
        <v>0</v>
      </c>
      <c r="V21" s="53">
        <f>'T&amp;M'!AG25*9</f>
        <v>0</v>
      </c>
      <c r="W21" s="53">
        <f>'T&amp;M'!AH25*9</f>
        <v>0</v>
      </c>
      <c r="X21" s="53">
        <f>'T&amp;M'!AI25*9</f>
        <v>0</v>
      </c>
      <c r="Y21" s="53">
        <f>'T&amp;M'!AJ25*9</f>
        <v>0</v>
      </c>
      <c r="Z21" s="53">
        <f>'T&amp;M'!AK25*9</f>
        <v>0</v>
      </c>
      <c r="AA21" s="53">
        <f>'T&amp;M'!AL25*9</f>
        <v>0</v>
      </c>
      <c r="AB21" s="53">
        <f>'T&amp;M'!AM25*9</f>
        <v>0</v>
      </c>
      <c r="AC21" s="53">
        <f>'T&amp;M'!AN25*9</f>
        <v>0</v>
      </c>
      <c r="AD21" s="53">
        <f>'T&amp;M'!AO25*9</f>
        <v>0</v>
      </c>
      <c r="AE21" s="53">
        <f>'T&amp;M'!AP25*9</f>
        <v>0</v>
      </c>
      <c r="AF21" s="53">
        <f>'T&amp;M'!AQ25*9</f>
        <v>0</v>
      </c>
      <c r="AG21" s="53">
        <f>'T&amp;M'!AR25*9</f>
        <v>0</v>
      </c>
      <c r="AH21" s="53">
        <f>'T&amp;M'!AS25*9</f>
        <v>0</v>
      </c>
      <c r="AI21" s="53">
        <f>'T&amp;M'!AT25*9</f>
        <v>0</v>
      </c>
      <c r="AJ21" s="53">
        <f>'T&amp;M'!AU25*9</f>
        <v>0</v>
      </c>
      <c r="AK21" s="53">
        <f>'T&amp;M'!AV25*9</f>
        <v>0</v>
      </c>
      <c r="AL21" s="53">
        <f>'T&amp;M'!AW25*9</f>
        <v>0</v>
      </c>
      <c r="AM21" s="53">
        <f>'T&amp;M'!AX25*9</f>
        <v>0</v>
      </c>
      <c r="AN21" s="53">
        <f>'T&amp;M'!AY25*9</f>
        <v>0</v>
      </c>
      <c r="AO21" s="53">
        <f>'T&amp;M'!AZ25*9</f>
        <v>0</v>
      </c>
      <c r="AP21" s="53">
        <f>'T&amp;M'!BA25*9</f>
        <v>0</v>
      </c>
      <c r="AQ21" s="53">
        <f>'T&amp;M'!BB25*9</f>
        <v>0</v>
      </c>
      <c r="AR21" s="53">
        <f>'T&amp;M'!BC25*9</f>
        <v>0</v>
      </c>
      <c r="AS21" s="53">
        <f>'T&amp;M'!BD25*9</f>
        <v>0</v>
      </c>
      <c r="AT21" s="53">
        <f>'T&amp;M'!BE25*9</f>
        <v>0</v>
      </c>
      <c r="AU21" s="53">
        <f>'T&amp;M'!BF25*9</f>
        <v>0</v>
      </c>
      <c r="AV21" s="53">
        <f>'T&amp;M'!BG25*9</f>
        <v>0</v>
      </c>
      <c r="AW21" s="53">
        <f>'T&amp;M'!BH25*9</f>
        <v>0</v>
      </c>
      <c r="AX21" s="53">
        <f>'T&amp;M'!BI25*9</f>
        <v>0</v>
      </c>
      <c r="AY21" s="53">
        <f>'T&amp;M'!BJ25*9</f>
        <v>0</v>
      </c>
      <c r="AZ21" s="53">
        <f>'T&amp;M'!BK25*9</f>
        <v>0</v>
      </c>
      <c r="BA21" s="53">
        <f>'T&amp;M'!BL25*9</f>
        <v>0</v>
      </c>
    </row>
    <row r="22" spans="1:53" ht="13" x14ac:dyDescent="0.45">
      <c r="A22" s="45">
        <f>'T&amp;M'!C26</f>
        <v>0</v>
      </c>
      <c r="B22" s="53">
        <f>'T&amp;M'!M26*9</f>
        <v>0</v>
      </c>
      <c r="C22" s="53">
        <f>'T&amp;M'!N26*9</f>
        <v>0</v>
      </c>
      <c r="D22" s="53">
        <f>'T&amp;M'!O26*9</f>
        <v>0</v>
      </c>
      <c r="E22" s="53">
        <f>'T&amp;M'!P26*9</f>
        <v>0</v>
      </c>
      <c r="F22" s="53">
        <f>'T&amp;M'!Q26*9</f>
        <v>0</v>
      </c>
      <c r="G22" s="53">
        <f>'T&amp;M'!R26*9</f>
        <v>0</v>
      </c>
      <c r="H22" s="53">
        <f>'T&amp;M'!S26*9</f>
        <v>0</v>
      </c>
      <c r="I22" s="53">
        <f>'T&amp;M'!T26*9</f>
        <v>0</v>
      </c>
      <c r="J22" s="53">
        <f>'T&amp;M'!U26*9</f>
        <v>0</v>
      </c>
      <c r="K22" s="53">
        <f>'T&amp;M'!V26*9</f>
        <v>0</v>
      </c>
      <c r="L22" s="53">
        <f>'T&amp;M'!W26*9</f>
        <v>0</v>
      </c>
      <c r="M22" s="53">
        <f>'T&amp;M'!X26*9</f>
        <v>0</v>
      </c>
      <c r="N22" s="53">
        <f>'T&amp;M'!Y26*9</f>
        <v>0</v>
      </c>
      <c r="O22" s="53">
        <f>'T&amp;M'!Z26*9</f>
        <v>0</v>
      </c>
      <c r="P22" s="53">
        <f>'T&amp;M'!AA26*9</f>
        <v>0</v>
      </c>
      <c r="Q22" s="53">
        <f>'T&amp;M'!AB26*9</f>
        <v>0</v>
      </c>
      <c r="R22" s="53">
        <f>'T&amp;M'!AC26*9</f>
        <v>0</v>
      </c>
      <c r="S22" s="53">
        <f>'T&amp;M'!AD26*9</f>
        <v>0</v>
      </c>
      <c r="T22" s="53">
        <f>'T&amp;M'!AE26*9</f>
        <v>0</v>
      </c>
      <c r="U22" s="53">
        <f>'T&amp;M'!AF26*9</f>
        <v>0</v>
      </c>
      <c r="V22" s="53">
        <f>'T&amp;M'!AG26*9</f>
        <v>0</v>
      </c>
      <c r="W22" s="53">
        <f>'T&amp;M'!AH26*9</f>
        <v>0</v>
      </c>
      <c r="X22" s="53">
        <f>'T&amp;M'!AI26*9</f>
        <v>0</v>
      </c>
      <c r="Y22" s="53">
        <f>'T&amp;M'!AJ26*9</f>
        <v>0</v>
      </c>
      <c r="Z22" s="53">
        <f>'T&amp;M'!AK26*9</f>
        <v>0</v>
      </c>
      <c r="AA22" s="53">
        <f>'T&amp;M'!AL26*9</f>
        <v>0</v>
      </c>
      <c r="AB22" s="53">
        <f>'T&amp;M'!AM26*9</f>
        <v>0</v>
      </c>
      <c r="AC22" s="53">
        <f>'T&amp;M'!AN26*9</f>
        <v>0</v>
      </c>
      <c r="AD22" s="53">
        <f>'T&amp;M'!AO26*9</f>
        <v>0</v>
      </c>
      <c r="AE22" s="53">
        <f>'T&amp;M'!AP26*9</f>
        <v>0</v>
      </c>
      <c r="AF22" s="53">
        <f>'T&amp;M'!AQ26*9</f>
        <v>0</v>
      </c>
      <c r="AG22" s="53">
        <f>'T&amp;M'!AR26*9</f>
        <v>0</v>
      </c>
      <c r="AH22" s="53">
        <f>'T&amp;M'!AS26*9</f>
        <v>0</v>
      </c>
      <c r="AI22" s="53">
        <f>'T&amp;M'!AT26*9</f>
        <v>0</v>
      </c>
      <c r="AJ22" s="53">
        <f>'T&amp;M'!AU26*9</f>
        <v>0</v>
      </c>
      <c r="AK22" s="53">
        <f>'T&amp;M'!AV26*9</f>
        <v>0</v>
      </c>
      <c r="AL22" s="53">
        <f>'T&amp;M'!AW26*9</f>
        <v>0</v>
      </c>
      <c r="AM22" s="53">
        <f>'T&amp;M'!AX26*9</f>
        <v>0</v>
      </c>
      <c r="AN22" s="53">
        <f>'T&amp;M'!AY26*9</f>
        <v>0</v>
      </c>
      <c r="AO22" s="53">
        <f>'T&amp;M'!AZ26*9</f>
        <v>0</v>
      </c>
      <c r="AP22" s="53">
        <f>'T&amp;M'!BA26*9</f>
        <v>0</v>
      </c>
      <c r="AQ22" s="53">
        <f>'T&amp;M'!BB26*9</f>
        <v>0</v>
      </c>
      <c r="AR22" s="53">
        <f>'T&amp;M'!BC26*9</f>
        <v>0</v>
      </c>
      <c r="AS22" s="53">
        <f>'T&amp;M'!BD26*9</f>
        <v>0</v>
      </c>
      <c r="AT22" s="53">
        <f>'T&amp;M'!BE26*9</f>
        <v>0</v>
      </c>
      <c r="AU22" s="53">
        <f>'T&amp;M'!BF26*9</f>
        <v>0</v>
      </c>
      <c r="AV22" s="53">
        <f>'T&amp;M'!BG26*9</f>
        <v>0</v>
      </c>
      <c r="AW22" s="53">
        <f>'T&amp;M'!BH26*9</f>
        <v>0</v>
      </c>
      <c r="AX22" s="53">
        <f>'T&amp;M'!BI26*9</f>
        <v>0</v>
      </c>
      <c r="AY22" s="53">
        <f>'T&amp;M'!BJ26*9</f>
        <v>0</v>
      </c>
      <c r="AZ22" s="53">
        <f>'T&amp;M'!BK26*9</f>
        <v>0</v>
      </c>
      <c r="BA22" s="53">
        <f>'T&amp;M'!BL26*9</f>
        <v>0</v>
      </c>
    </row>
    <row r="23" spans="1:53" ht="13" x14ac:dyDescent="0.45">
      <c r="A23" s="45">
        <f>'T&amp;M'!C27</f>
        <v>0</v>
      </c>
      <c r="B23" s="53">
        <f>'T&amp;M'!M27*9</f>
        <v>0</v>
      </c>
      <c r="C23" s="53">
        <f>'T&amp;M'!N27*9</f>
        <v>0</v>
      </c>
      <c r="D23" s="53">
        <f>'T&amp;M'!O27*9</f>
        <v>0</v>
      </c>
      <c r="E23" s="53">
        <f>'T&amp;M'!P27*9</f>
        <v>0</v>
      </c>
      <c r="F23" s="53">
        <f>'T&amp;M'!Q27*9</f>
        <v>0</v>
      </c>
      <c r="G23" s="53">
        <f>'T&amp;M'!R27*9</f>
        <v>0</v>
      </c>
      <c r="H23" s="53">
        <f>'T&amp;M'!S27*9</f>
        <v>0</v>
      </c>
      <c r="I23" s="53">
        <f>'T&amp;M'!T27*9</f>
        <v>0</v>
      </c>
      <c r="J23" s="53">
        <f>'T&amp;M'!U27*9</f>
        <v>0</v>
      </c>
      <c r="K23" s="53">
        <f>'T&amp;M'!V27*9</f>
        <v>0</v>
      </c>
      <c r="L23" s="53">
        <f>'T&amp;M'!W27*9</f>
        <v>0</v>
      </c>
      <c r="M23" s="53">
        <f>'T&amp;M'!X27*9</f>
        <v>0</v>
      </c>
      <c r="N23" s="53">
        <f>'T&amp;M'!Y27*9</f>
        <v>0</v>
      </c>
      <c r="O23" s="53">
        <f>'T&amp;M'!Z27*9</f>
        <v>0</v>
      </c>
      <c r="P23" s="53">
        <f>'T&amp;M'!AA27*9</f>
        <v>0</v>
      </c>
      <c r="Q23" s="53">
        <f>'T&amp;M'!AB27*9</f>
        <v>0</v>
      </c>
      <c r="R23" s="53">
        <f>'T&amp;M'!AC27*9</f>
        <v>0</v>
      </c>
      <c r="S23" s="53">
        <f>'T&amp;M'!AD27*9</f>
        <v>0</v>
      </c>
      <c r="T23" s="53">
        <f>'T&amp;M'!AE27*9</f>
        <v>0</v>
      </c>
      <c r="U23" s="53">
        <f>'T&amp;M'!AF27*9</f>
        <v>0</v>
      </c>
      <c r="V23" s="53">
        <f>'T&amp;M'!AG27*9</f>
        <v>0</v>
      </c>
      <c r="W23" s="53">
        <f>'T&amp;M'!AH27*9</f>
        <v>0</v>
      </c>
      <c r="X23" s="53">
        <f>'T&amp;M'!AI27*9</f>
        <v>0</v>
      </c>
      <c r="Y23" s="53">
        <f>'T&amp;M'!AJ27*9</f>
        <v>0</v>
      </c>
      <c r="Z23" s="53">
        <f>'T&amp;M'!AK27*9</f>
        <v>0</v>
      </c>
      <c r="AA23" s="53">
        <f>'T&amp;M'!AL27*9</f>
        <v>0</v>
      </c>
      <c r="AB23" s="53">
        <f>'T&amp;M'!AM27*9</f>
        <v>0</v>
      </c>
      <c r="AC23" s="53">
        <f>'T&amp;M'!AN27*9</f>
        <v>0</v>
      </c>
      <c r="AD23" s="53">
        <f>'T&amp;M'!AO27*9</f>
        <v>0</v>
      </c>
      <c r="AE23" s="53">
        <f>'T&amp;M'!AP27*9</f>
        <v>0</v>
      </c>
      <c r="AF23" s="53">
        <f>'T&amp;M'!AQ27*9</f>
        <v>0</v>
      </c>
      <c r="AG23" s="53">
        <f>'T&amp;M'!AR27*9</f>
        <v>0</v>
      </c>
      <c r="AH23" s="53">
        <f>'T&amp;M'!AS27*9</f>
        <v>0</v>
      </c>
      <c r="AI23" s="53">
        <f>'T&amp;M'!AT27*9</f>
        <v>0</v>
      </c>
      <c r="AJ23" s="53">
        <f>'T&amp;M'!AU27*9</f>
        <v>0</v>
      </c>
      <c r="AK23" s="53">
        <f>'T&amp;M'!AV27*9</f>
        <v>0</v>
      </c>
      <c r="AL23" s="53">
        <f>'T&amp;M'!AW27*9</f>
        <v>0</v>
      </c>
      <c r="AM23" s="53">
        <f>'T&amp;M'!AX27*9</f>
        <v>0</v>
      </c>
      <c r="AN23" s="53">
        <f>'T&amp;M'!AY27*9</f>
        <v>0</v>
      </c>
      <c r="AO23" s="53">
        <f>'T&amp;M'!AZ27*9</f>
        <v>0</v>
      </c>
      <c r="AP23" s="53">
        <f>'T&amp;M'!BA27*9</f>
        <v>0</v>
      </c>
      <c r="AQ23" s="53">
        <f>'T&amp;M'!BB27*9</f>
        <v>0</v>
      </c>
      <c r="AR23" s="53">
        <f>'T&amp;M'!BC27*9</f>
        <v>0</v>
      </c>
      <c r="AS23" s="53">
        <f>'T&amp;M'!BD27*9</f>
        <v>0</v>
      </c>
      <c r="AT23" s="53">
        <f>'T&amp;M'!BE27*9</f>
        <v>0</v>
      </c>
      <c r="AU23" s="53">
        <f>'T&amp;M'!BF27*9</f>
        <v>0</v>
      </c>
      <c r="AV23" s="53">
        <f>'T&amp;M'!BG27*9</f>
        <v>0</v>
      </c>
      <c r="AW23" s="53">
        <f>'T&amp;M'!BH27*9</f>
        <v>0</v>
      </c>
      <c r="AX23" s="53">
        <f>'T&amp;M'!BI27*9</f>
        <v>0</v>
      </c>
      <c r="AY23" s="53">
        <f>'T&amp;M'!BJ27*9</f>
        <v>0</v>
      </c>
      <c r="AZ23" s="53">
        <f>'T&amp;M'!BK27*9</f>
        <v>0</v>
      </c>
      <c r="BA23" s="53">
        <f>'T&amp;M'!BL27*9</f>
        <v>0</v>
      </c>
    </row>
    <row r="24" spans="1:53" ht="13" x14ac:dyDescent="0.45">
      <c r="A24" s="45">
        <f>'T&amp;M'!C28</f>
        <v>0</v>
      </c>
      <c r="B24" s="53">
        <f>'T&amp;M'!M28*9</f>
        <v>0</v>
      </c>
      <c r="C24" s="53">
        <f>'T&amp;M'!N28*9</f>
        <v>0</v>
      </c>
      <c r="D24" s="53">
        <f>'T&amp;M'!O28*9</f>
        <v>0</v>
      </c>
      <c r="E24" s="53">
        <f>'T&amp;M'!P28*9</f>
        <v>0</v>
      </c>
      <c r="F24" s="53">
        <f>'T&amp;M'!Q28*9</f>
        <v>0</v>
      </c>
      <c r="G24" s="53">
        <f>'T&amp;M'!R28*9</f>
        <v>0</v>
      </c>
      <c r="H24" s="53">
        <f>'T&amp;M'!S28*9</f>
        <v>0</v>
      </c>
      <c r="I24" s="53">
        <f>'T&amp;M'!T28*9</f>
        <v>0</v>
      </c>
      <c r="J24" s="53">
        <f>'T&amp;M'!U28*9</f>
        <v>0</v>
      </c>
      <c r="K24" s="53">
        <f>'T&amp;M'!V28*9</f>
        <v>0</v>
      </c>
      <c r="L24" s="53">
        <f>'T&amp;M'!W28*9</f>
        <v>0</v>
      </c>
      <c r="M24" s="53">
        <f>'T&amp;M'!X28*9</f>
        <v>0</v>
      </c>
      <c r="N24" s="53">
        <f>'T&amp;M'!Y28*9</f>
        <v>0</v>
      </c>
      <c r="O24" s="53">
        <f>'T&amp;M'!Z28*9</f>
        <v>0</v>
      </c>
      <c r="P24" s="53">
        <f>'T&amp;M'!AA28*9</f>
        <v>0</v>
      </c>
      <c r="Q24" s="53">
        <f>'T&amp;M'!AB28*9</f>
        <v>0</v>
      </c>
      <c r="R24" s="53">
        <f>'T&amp;M'!AC28*9</f>
        <v>0</v>
      </c>
      <c r="S24" s="53">
        <f>'T&amp;M'!AD28*9</f>
        <v>0</v>
      </c>
      <c r="T24" s="53">
        <f>'T&amp;M'!AE28*9</f>
        <v>0</v>
      </c>
      <c r="U24" s="53">
        <f>'T&amp;M'!AF28*9</f>
        <v>0</v>
      </c>
      <c r="V24" s="53">
        <f>'T&amp;M'!AG28*9</f>
        <v>0</v>
      </c>
      <c r="W24" s="53">
        <f>'T&amp;M'!AH28*9</f>
        <v>0</v>
      </c>
      <c r="X24" s="53">
        <f>'T&amp;M'!AI28*9</f>
        <v>0</v>
      </c>
      <c r="Y24" s="53">
        <f>'T&amp;M'!AJ28*9</f>
        <v>0</v>
      </c>
      <c r="Z24" s="53">
        <f>'T&amp;M'!AK28*9</f>
        <v>0</v>
      </c>
      <c r="AA24" s="53">
        <f>'T&amp;M'!AL28*9</f>
        <v>0</v>
      </c>
      <c r="AB24" s="53">
        <f>'T&amp;M'!AM28*9</f>
        <v>0</v>
      </c>
      <c r="AC24" s="53">
        <f>'T&amp;M'!AN28*9</f>
        <v>0</v>
      </c>
      <c r="AD24" s="53">
        <f>'T&amp;M'!AO28*9</f>
        <v>0</v>
      </c>
      <c r="AE24" s="53">
        <f>'T&amp;M'!AP28*9</f>
        <v>0</v>
      </c>
      <c r="AF24" s="53">
        <f>'T&amp;M'!AQ28*9</f>
        <v>0</v>
      </c>
      <c r="AG24" s="53">
        <f>'T&amp;M'!AR28*9</f>
        <v>0</v>
      </c>
      <c r="AH24" s="53">
        <f>'T&amp;M'!AS28*9</f>
        <v>0</v>
      </c>
      <c r="AI24" s="53">
        <f>'T&amp;M'!AT28*9</f>
        <v>0</v>
      </c>
      <c r="AJ24" s="53">
        <f>'T&amp;M'!AU28*9</f>
        <v>0</v>
      </c>
      <c r="AK24" s="53">
        <f>'T&amp;M'!AV28*9</f>
        <v>0</v>
      </c>
      <c r="AL24" s="53">
        <f>'T&amp;M'!AW28*9</f>
        <v>0</v>
      </c>
      <c r="AM24" s="53">
        <f>'T&amp;M'!AX28*9</f>
        <v>0</v>
      </c>
      <c r="AN24" s="53">
        <f>'T&amp;M'!AY28*9</f>
        <v>0</v>
      </c>
      <c r="AO24" s="53">
        <f>'T&amp;M'!AZ28*9</f>
        <v>0</v>
      </c>
      <c r="AP24" s="53">
        <f>'T&amp;M'!BA28*9</f>
        <v>0</v>
      </c>
      <c r="AQ24" s="53">
        <f>'T&amp;M'!BB28*9</f>
        <v>0</v>
      </c>
      <c r="AR24" s="53">
        <f>'T&amp;M'!BC28*9</f>
        <v>0</v>
      </c>
      <c r="AS24" s="53">
        <f>'T&amp;M'!BD28*9</f>
        <v>0</v>
      </c>
      <c r="AT24" s="53">
        <f>'T&amp;M'!BE28*9</f>
        <v>0</v>
      </c>
      <c r="AU24" s="53">
        <f>'T&amp;M'!BF28*9</f>
        <v>0</v>
      </c>
      <c r="AV24" s="53">
        <f>'T&amp;M'!BG28*9</f>
        <v>0</v>
      </c>
      <c r="AW24" s="53">
        <f>'T&amp;M'!BH28*9</f>
        <v>0</v>
      </c>
      <c r="AX24" s="53">
        <f>'T&amp;M'!BI28*9</f>
        <v>0</v>
      </c>
      <c r="AY24" s="53">
        <f>'T&amp;M'!BJ28*9</f>
        <v>0</v>
      </c>
      <c r="AZ24" s="53">
        <f>'T&amp;M'!BK28*9</f>
        <v>0</v>
      </c>
      <c r="BA24" s="53">
        <f>'T&amp;M'!BL28*9</f>
        <v>0</v>
      </c>
    </row>
    <row r="25" spans="1:53" ht="13" x14ac:dyDescent="0.45">
      <c r="A25" s="45">
        <f>'T&amp;M'!C29</f>
        <v>0</v>
      </c>
      <c r="B25" s="53">
        <f>'T&amp;M'!M29*9</f>
        <v>0</v>
      </c>
      <c r="C25" s="53">
        <f>'T&amp;M'!N29*9</f>
        <v>0</v>
      </c>
      <c r="D25" s="53">
        <f>'T&amp;M'!O29*9</f>
        <v>0</v>
      </c>
      <c r="E25" s="53">
        <f>'T&amp;M'!P29*9</f>
        <v>0</v>
      </c>
      <c r="F25" s="53">
        <f>'T&amp;M'!Q29*9</f>
        <v>0</v>
      </c>
      <c r="G25" s="53">
        <f>'T&amp;M'!R29*9</f>
        <v>0</v>
      </c>
      <c r="H25" s="53">
        <f>'T&amp;M'!S29*9</f>
        <v>0</v>
      </c>
      <c r="I25" s="53">
        <f>'T&amp;M'!T29*9</f>
        <v>0</v>
      </c>
      <c r="J25" s="53">
        <f>'T&amp;M'!U29*9</f>
        <v>0</v>
      </c>
      <c r="K25" s="53">
        <f>'T&amp;M'!V29*9</f>
        <v>0</v>
      </c>
      <c r="L25" s="53">
        <f>'T&amp;M'!W29*9</f>
        <v>0</v>
      </c>
      <c r="M25" s="53">
        <f>'T&amp;M'!X29*9</f>
        <v>0</v>
      </c>
      <c r="N25" s="53">
        <f>'T&amp;M'!Y29*9</f>
        <v>0</v>
      </c>
      <c r="O25" s="53">
        <f>'T&amp;M'!Z29*9</f>
        <v>0</v>
      </c>
      <c r="P25" s="53">
        <f>'T&amp;M'!AA29*9</f>
        <v>0</v>
      </c>
      <c r="Q25" s="53">
        <f>'T&amp;M'!AB29*9</f>
        <v>0</v>
      </c>
      <c r="R25" s="53">
        <f>'T&amp;M'!AC29*9</f>
        <v>0</v>
      </c>
      <c r="S25" s="53">
        <f>'T&amp;M'!AD29*9</f>
        <v>0</v>
      </c>
      <c r="T25" s="53">
        <f>'T&amp;M'!AE29*9</f>
        <v>0</v>
      </c>
      <c r="U25" s="53">
        <f>'T&amp;M'!AF29*9</f>
        <v>0</v>
      </c>
      <c r="V25" s="53">
        <f>'T&amp;M'!AG29*9</f>
        <v>0</v>
      </c>
      <c r="W25" s="53">
        <f>'T&amp;M'!AH29*9</f>
        <v>0</v>
      </c>
      <c r="X25" s="53">
        <f>'T&amp;M'!AI29*9</f>
        <v>0</v>
      </c>
      <c r="Y25" s="53">
        <f>'T&amp;M'!AJ29*9</f>
        <v>0</v>
      </c>
      <c r="Z25" s="53">
        <f>'T&amp;M'!AK29*9</f>
        <v>0</v>
      </c>
      <c r="AA25" s="53">
        <f>'T&amp;M'!AL29*9</f>
        <v>0</v>
      </c>
      <c r="AB25" s="53">
        <f>'T&amp;M'!AM29*9</f>
        <v>0</v>
      </c>
      <c r="AC25" s="53">
        <f>'T&amp;M'!AN29*9</f>
        <v>0</v>
      </c>
      <c r="AD25" s="53">
        <f>'T&amp;M'!AO29*9</f>
        <v>0</v>
      </c>
      <c r="AE25" s="53">
        <f>'T&amp;M'!AP29*9</f>
        <v>0</v>
      </c>
      <c r="AF25" s="53">
        <f>'T&amp;M'!AQ29*9</f>
        <v>0</v>
      </c>
      <c r="AG25" s="53">
        <f>'T&amp;M'!AR29*9</f>
        <v>0</v>
      </c>
      <c r="AH25" s="53">
        <f>'T&amp;M'!AS29*9</f>
        <v>0</v>
      </c>
      <c r="AI25" s="53">
        <f>'T&amp;M'!AT29*9</f>
        <v>0</v>
      </c>
      <c r="AJ25" s="53">
        <f>'T&amp;M'!AU29*9</f>
        <v>0</v>
      </c>
      <c r="AK25" s="53">
        <f>'T&amp;M'!AV29*9</f>
        <v>0</v>
      </c>
      <c r="AL25" s="53">
        <f>'T&amp;M'!AW29*9</f>
        <v>0</v>
      </c>
      <c r="AM25" s="53">
        <f>'T&amp;M'!AX29*9</f>
        <v>0</v>
      </c>
      <c r="AN25" s="53">
        <f>'T&amp;M'!AY29*9</f>
        <v>0</v>
      </c>
      <c r="AO25" s="53">
        <f>'T&amp;M'!AZ29*9</f>
        <v>0</v>
      </c>
      <c r="AP25" s="53">
        <f>'T&amp;M'!BA29*9</f>
        <v>0</v>
      </c>
      <c r="AQ25" s="53">
        <f>'T&amp;M'!BB29*9</f>
        <v>0</v>
      </c>
      <c r="AR25" s="53">
        <f>'T&amp;M'!BC29*9</f>
        <v>0</v>
      </c>
      <c r="AS25" s="53">
        <f>'T&amp;M'!BD29*9</f>
        <v>0</v>
      </c>
      <c r="AT25" s="53">
        <f>'T&amp;M'!BE29*9</f>
        <v>0</v>
      </c>
      <c r="AU25" s="53">
        <f>'T&amp;M'!BF29*9</f>
        <v>0</v>
      </c>
      <c r="AV25" s="53">
        <f>'T&amp;M'!BG29*9</f>
        <v>0</v>
      </c>
      <c r="AW25" s="53">
        <f>'T&amp;M'!BH29*9</f>
        <v>0</v>
      </c>
      <c r="AX25" s="53">
        <f>'T&amp;M'!BI29*9</f>
        <v>0</v>
      </c>
      <c r="AY25" s="53">
        <f>'T&amp;M'!BJ29*9</f>
        <v>0</v>
      </c>
      <c r="AZ25" s="53">
        <f>'T&amp;M'!BK29*9</f>
        <v>0</v>
      </c>
      <c r="BA25" s="53">
        <f>'T&amp;M'!BL29*9</f>
        <v>0</v>
      </c>
    </row>
    <row r="26" spans="1:53" ht="13" x14ac:dyDescent="0.45">
      <c r="A26" s="45">
        <f>'T&amp;M'!C30</f>
        <v>0</v>
      </c>
      <c r="B26" s="53">
        <f>'T&amp;M'!M30*9</f>
        <v>0</v>
      </c>
      <c r="C26" s="53">
        <f>'T&amp;M'!N30*9</f>
        <v>0</v>
      </c>
      <c r="D26" s="53">
        <f>'T&amp;M'!O30*9</f>
        <v>0</v>
      </c>
      <c r="E26" s="53">
        <f>'T&amp;M'!P30*9</f>
        <v>0</v>
      </c>
      <c r="F26" s="53">
        <f>'T&amp;M'!Q30*9</f>
        <v>0</v>
      </c>
      <c r="G26" s="53">
        <f>'T&amp;M'!R30*9</f>
        <v>0</v>
      </c>
      <c r="H26" s="53">
        <f>'T&amp;M'!S30*9</f>
        <v>0</v>
      </c>
      <c r="I26" s="53">
        <f>'T&amp;M'!T30*9</f>
        <v>0</v>
      </c>
      <c r="J26" s="53">
        <f>'T&amp;M'!U30*9</f>
        <v>0</v>
      </c>
      <c r="K26" s="53">
        <f>'T&amp;M'!V30*9</f>
        <v>0</v>
      </c>
      <c r="L26" s="53">
        <f>'T&amp;M'!W30*9</f>
        <v>0</v>
      </c>
      <c r="M26" s="53">
        <f>'T&amp;M'!X30*9</f>
        <v>0</v>
      </c>
      <c r="N26" s="53">
        <f>'T&amp;M'!Y30*9</f>
        <v>0</v>
      </c>
      <c r="O26" s="53">
        <f>'T&amp;M'!Z30*9</f>
        <v>0</v>
      </c>
      <c r="P26" s="53">
        <f>'T&amp;M'!AA30*9</f>
        <v>0</v>
      </c>
      <c r="Q26" s="53">
        <f>'T&amp;M'!AB30*9</f>
        <v>0</v>
      </c>
      <c r="R26" s="53">
        <f>'T&amp;M'!AC30*9</f>
        <v>0</v>
      </c>
      <c r="S26" s="53">
        <f>'T&amp;M'!AD30*9</f>
        <v>0</v>
      </c>
      <c r="T26" s="53">
        <f>'T&amp;M'!AE30*9</f>
        <v>0</v>
      </c>
      <c r="U26" s="53">
        <f>'T&amp;M'!AF30*9</f>
        <v>0</v>
      </c>
      <c r="V26" s="53">
        <f>'T&amp;M'!AG30*9</f>
        <v>0</v>
      </c>
      <c r="W26" s="53">
        <f>'T&amp;M'!AH30*9</f>
        <v>0</v>
      </c>
      <c r="X26" s="53">
        <f>'T&amp;M'!AI30*9</f>
        <v>0</v>
      </c>
      <c r="Y26" s="53">
        <f>'T&amp;M'!AJ30*9</f>
        <v>0</v>
      </c>
      <c r="Z26" s="53">
        <f>'T&amp;M'!AK30*9</f>
        <v>0</v>
      </c>
      <c r="AA26" s="53">
        <f>'T&amp;M'!AL30*9</f>
        <v>0</v>
      </c>
      <c r="AB26" s="53">
        <f>'T&amp;M'!AM30*9</f>
        <v>0</v>
      </c>
      <c r="AC26" s="53">
        <f>'T&amp;M'!AN30*9</f>
        <v>0</v>
      </c>
      <c r="AD26" s="53">
        <f>'T&amp;M'!AO30*9</f>
        <v>0</v>
      </c>
      <c r="AE26" s="53">
        <f>'T&amp;M'!AP30*9</f>
        <v>0</v>
      </c>
      <c r="AF26" s="53">
        <f>'T&amp;M'!AQ30*9</f>
        <v>0</v>
      </c>
      <c r="AG26" s="53">
        <f>'T&amp;M'!AR30*9</f>
        <v>0</v>
      </c>
      <c r="AH26" s="53">
        <f>'T&amp;M'!AS30*9</f>
        <v>0</v>
      </c>
      <c r="AI26" s="53">
        <f>'T&amp;M'!AT30*9</f>
        <v>0</v>
      </c>
      <c r="AJ26" s="53">
        <f>'T&amp;M'!AU30*9</f>
        <v>0</v>
      </c>
      <c r="AK26" s="53">
        <f>'T&amp;M'!AV30*9</f>
        <v>0</v>
      </c>
      <c r="AL26" s="53">
        <f>'T&amp;M'!AW30*9</f>
        <v>0</v>
      </c>
      <c r="AM26" s="53">
        <f>'T&amp;M'!AX30*9</f>
        <v>0</v>
      </c>
      <c r="AN26" s="53">
        <f>'T&amp;M'!AY30*9</f>
        <v>0</v>
      </c>
      <c r="AO26" s="53">
        <f>'T&amp;M'!AZ30*9</f>
        <v>0</v>
      </c>
      <c r="AP26" s="53">
        <f>'T&amp;M'!BA30*9</f>
        <v>0</v>
      </c>
      <c r="AQ26" s="53">
        <f>'T&amp;M'!BB30*9</f>
        <v>0</v>
      </c>
      <c r="AR26" s="53">
        <f>'T&amp;M'!BC30*9</f>
        <v>0</v>
      </c>
      <c r="AS26" s="53">
        <f>'T&amp;M'!BD30*9</f>
        <v>0</v>
      </c>
      <c r="AT26" s="53">
        <f>'T&amp;M'!BE30*9</f>
        <v>0</v>
      </c>
      <c r="AU26" s="53">
        <f>'T&amp;M'!BF30*9</f>
        <v>0</v>
      </c>
      <c r="AV26" s="53">
        <f>'T&amp;M'!BG30*9</f>
        <v>0</v>
      </c>
      <c r="AW26" s="53">
        <f>'T&amp;M'!BH30*9</f>
        <v>0</v>
      </c>
      <c r="AX26" s="53">
        <f>'T&amp;M'!BI30*9</f>
        <v>0</v>
      </c>
      <c r="AY26" s="53">
        <f>'T&amp;M'!BJ30*9</f>
        <v>0</v>
      </c>
      <c r="AZ26" s="53">
        <f>'T&amp;M'!BK30*9</f>
        <v>0</v>
      </c>
      <c r="BA26" s="53">
        <f>'T&amp;M'!BL30*9</f>
        <v>0</v>
      </c>
    </row>
    <row r="27" spans="1:53" ht="13" x14ac:dyDescent="0.45">
      <c r="A27" s="45">
        <f>'T&amp;M'!C32</f>
        <v>0</v>
      </c>
      <c r="B27" s="53">
        <f>'T&amp;M'!M31*9</f>
        <v>0</v>
      </c>
      <c r="C27" s="53">
        <f>'T&amp;M'!N31*9</f>
        <v>0</v>
      </c>
      <c r="D27" s="53">
        <f>'T&amp;M'!O31*9</f>
        <v>0</v>
      </c>
      <c r="E27" s="53">
        <f>'T&amp;M'!P31*9</f>
        <v>0</v>
      </c>
      <c r="F27" s="53">
        <f>'T&amp;M'!Q31*9</f>
        <v>0</v>
      </c>
      <c r="G27" s="53">
        <f>'T&amp;M'!R31*9</f>
        <v>0</v>
      </c>
      <c r="H27" s="53">
        <f>'T&amp;M'!S31*9</f>
        <v>0</v>
      </c>
      <c r="I27" s="53">
        <f>'T&amp;M'!T31*9</f>
        <v>0</v>
      </c>
      <c r="J27" s="53">
        <f>'T&amp;M'!U31*9</f>
        <v>0</v>
      </c>
      <c r="K27" s="53">
        <f>'T&amp;M'!V31*9</f>
        <v>0</v>
      </c>
      <c r="L27" s="53">
        <f>'T&amp;M'!W31*9</f>
        <v>0</v>
      </c>
      <c r="M27" s="53">
        <f>'T&amp;M'!X31*9</f>
        <v>0</v>
      </c>
      <c r="N27" s="53">
        <f>'T&amp;M'!Y31*9</f>
        <v>0</v>
      </c>
      <c r="O27" s="53">
        <f>'T&amp;M'!Z31*9</f>
        <v>0</v>
      </c>
      <c r="P27" s="53">
        <f>'T&amp;M'!AA31*9</f>
        <v>0</v>
      </c>
      <c r="Q27" s="53">
        <f>'T&amp;M'!AB31*9</f>
        <v>0</v>
      </c>
      <c r="R27" s="53">
        <f>'T&amp;M'!AC31*9</f>
        <v>0</v>
      </c>
      <c r="S27" s="53">
        <f>'T&amp;M'!AD31*9</f>
        <v>0</v>
      </c>
      <c r="T27" s="53">
        <f>'T&amp;M'!AE31*9</f>
        <v>0</v>
      </c>
      <c r="U27" s="53">
        <f>'T&amp;M'!AF31*9</f>
        <v>0</v>
      </c>
      <c r="V27" s="53">
        <f>'T&amp;M'!AG31*9</f>
        <v>0</v>
      </c>
      <c r="W27" s="53">
        <f>'T&amp;M'!AH31*9</f>
        <v>0</v>
      </c>
      <c r="X27" s="53">
        <f>'T&amp;M'!AI31*9</f>
        <v>0</v>
      </c>
      <c r="Y27" s="53">
        <f>'T&amp;M'!AJ31*9</f>
        <v>0</v>
      </c>
      <c r="Z27" s="53">
        <f>'T&amp;M'!AK31*9</f>
        <v>0</v>
      </c>
      <c r="AA27" s="53">
        <f>'T&amp;M'!AL31*9</f>
        <v>0</v>
      </c>
      <c r="AB27" s="53">
        <f>'T&amp;M'!AM31*9</f>
        <v>0</v>
      </c>
      <c r="AC27" s="53">
        <f>'T&amp;M'!AN31*9</f>
        <v>0</v>
      </c>
      <c r="AD27" s="53">
        <f>'T&amp;M'!AO31*9</f>
        <v>0</v>
      </c>
      <c r="AE27" s="53">
        <f>'T&amp;M'!AP31*9</f>
        <v>0</v>
      </c>
      <c r="AF27" s="53">
        <f>'T&amp;M'!AQ31*9</f>
        <v>0</v>
      </c>
      <c r="AG27" s="53">
        <f>'T&amp;M'!AR31*9</f>
        <v>0</v>
      </c>
      <c r="AH27" s="53">
        <f>'T&amp;M'!AS31*9</f>
        <v>0</v>
      </c>
      <c r="AI27" s="53">
        <f>'T&amp;M'!AT31*9</f>
        <v>0</v>
      </c>
      <c r="AJ27" s="53">
        <f>'T&amp;M'!AU31*9</f>
        <v>0</v>
      </c>
      <c r="AK27" s="53">
        <f>'T&amp;M'!AV31*9</f>
        <v>0</v>
      </c>
      <c r="AL27" s="53">
        <f>'T&amp;M'!AW31*9</f>
        <v>0</v>
      </c>
      <c r="AM27" s="53">
        <f>'T&amp;M'!AX31*9</f>
        <v>0</v>
      </c>
      <c r="AN27" s="53">
        <f>'T&amp;M'!AY31*9</f>
        <v>0</v>
      </c>
      <c r="AO27" s="53">
        <f>'T&amp;M'!AZ31*9</f>
        <v>0</v>
      </c>
      <c r="AP27" s="53">
        <f>'T&amp;M'!BA31*9</f>
        <v>0</v>
      </c>
      <c r="AQ27" s="53">
        <f>'T&amp;M'!BB31*9</f>
        <v>0</v>
      </c>
      <c r="AR27" s="53">
        <f>'T&amp;M'!BC31*9</f>
        <v>0</v>
      </c>
      <c r="AS27" s="53">
        <f>'T&amp;M'!BD31*9</f>
        <v>0</v>
      </c>
      <c r="AT27" s="53">
        <f>'T&amp;M'!BE31*9</f>
        <v>0</v>
      </c>
      <c r="AU27" s="53">
        <f>'T&amp;M'!BF31*9</f>
        <v>0</v>
      </c>
      <c r="AV27" s="53">
        <f>'T&amp;M'!BG31*9</f>
        <v>0</v>
      </c>
      <c r="AW27" s="53">
        <f>'T&amp;M'!BH31*9</f>
        <v>0</v>
      </c>
      <c r="AX27" s="53">
        <f>'T&amp;M'!BI31*9</f>
        <v>0</v>
      </c>
      <c r="AY27" s="53">
        <f>'T&amp;M'!BJ31*9</f>
        <v>0</v>
      </c>
      <c r="AZ27" s="53">
        <f>'T&amp;M'!BK31*9</f>
        <v>0</v>
      </c>
      <c r="BA27" s="53">
        <f>'T&amp;M'!BL31*9</f>
        <v>0</v>
      </c>
    </row>
    <row r="28" spans="1:53" ht="13.35" thickBot="1" x14ac:dyDescent="0.5">
      <c r="A28" s="45">
        <f>'T&amp;M'!C33</f>
        <v>0</v>
      </c>
      <c r="B28" s="53">
        <f>'T&amp;M'!M32*9</f>
        <v>0</v>
      </c>
      <c r="C28" s="53">
        <f>'T&amp;M'!N32*9</f>
        <v>0</v>
      </c>
      <c r="D28" s="53">
        <f>'T&amp;M'!O32*9</f>
        <v>0</v>
      </c>
      <c r="E28" s="53">
        <f>'T&amp;M'!P32*9</f>
        <v>0</v>
      </c>
      <c r="F28" s="53">
        <f>'T&amp;M'!Q32*9</f>
        <v>0</v>
      </c>
      <c r="G28" s="53">
        <f>'T&amp;M'!R32*9</f>
        <v>0</v>
      </c>
      <c r="H28" s="53">
        <f>'T&amp;M'!S32*9</f>
        <v>0</v>
      </c>
      <c r="I28" s="53">
        <f>'T&amp;M'!T32*9</f>
        <v>0</v>
      </c>
      <c r="J28" s="53">
        <f>'T&amp;M'!U32*9</f>
        <v>0</v>
      </c>
      <c r="K28" s="53">
        <f>'T&amp;M'!V32*9</f>
        <v>0</v>
      </c>
      <c r="L28" s="53">
        <f>'T&amp;M'!W32*9</f>
        <v>0</v>
      </c>
      <c r="M28" s="53">
        <f>'T&amp;M'!X32*9</f>
        <v>0</v>
      </c>
      <c r="N28" s="53">
        <f>'T&amp;M'!Y32*9</f>
        <v>0</v>
      </c>
      <c r="O28" s="53">
        <f>'T&amp;M'!Z32*9</f>
        <v>0</v>
      </c>
      <c r="P28" s="53">
        <f>'T&amp;M'!AA32*9</f>
        <v>0</v>
      </c>
      <c r="Q28" s="53">
        <f>'T&amp;M'!AB32*9</f>
        <v>0</v>
      </c>
      <c r="R28" s="53">
        <f>'T&amp;M'!AC32*9</f>
        <v>0</v>
      </c>
      <c r="S28" s="53">
        <f>'T&amp;M'!AD32*9</f>
        <v>0</v>
      </c>
      <c r="T28" s="53">
        <f>'T&amp;M'!AE32*9</f>
        <v>0</v>
      </c>
      <c r="U28" s="53">
        <f>'T&amp;M'!AF32*9</f>
        <v>0</v>
      </c>
      <c r="V28" s="53">
        <f>'T&amp;M'!AG32*9</f>
        <v>0</v>
      </c>
      <c r="W28" s="53">
        <f>'T&amp;M'!AH32*9</f>
        <v>0</v>
      </c>
      <c r="X28" s="53">
        <f>'T&amp;M'!AI32*9</f>
        <v>0</v>
      </c>
      <c r="Y28" s="53">
        <f>'T&amp;M'!AJ32*9</f>
        <v>0</v>
      </c>
      <c r="Z28" s="53">
        <f>'T&amp;M'!AK32*9</f>
        <v>0</v>
      </c>
      <c r="AA28" s="53">
        <f>'T&amp;M'!AL32*9</f>
        <v>0</v>
      </c>
      <c r="AB28" s="53">
        <f>'T&amp;M'!AM32*9</f>
        <v>0</v>
      </c>
      <c r="AC28" s="53">
        <f>'T&amp;M'!AN32*9</f>
        <v>0</v>
      </c>
      <c r="AD28" s="53">
        <f>'T&amp;M'!AO32*9</f>
        <v>0</v>
      </c>
      <c r="AE28" s="53">
        <f>'T&amp;M'!AP32*9</f>
        <v>0</v>
      </c>
      <c r="AF28" s="53">
        <f>'T&amp;M'!AQ32*9</f>
        <v>0</v>
      </c>
      <c r="AG28" s="53">
        <f>'T&amp;M'!AR32*9</f>
        <v>0</v>
      </c>
      <c r="AH28" s="53">
        <f>'T&amp;M'!AS32*9</f>
        <v>0</v>
      </c>
      <c r="AI28" s="53">
        <f>'T&amp;M'!AT32*9</f>
        <v>0</v>
      </c>
      <c r="AJ28" s="53">
        <f>'T&amp;M'!AU32*9</f>
        <v>0</v>
      </c>
      <c r="AK28" s="53">
        <f>'T&amp;M'!AV32*9</f>
        <v>0</v>
      </c>
      <c r="AL28" s="53">
        <f>'T&amp;M'!AW32*9</f>
        <v>0</v>
      </c>
      <c r="AM28" s="53">
        <f>'T&amp;M'!AX32*9</f>
        <v>0</v>
      </c>
      <c r="AN28" s="53">
        <f>'T&amp;M'!AY32*9</f>
        <v>0</v>
      </c>
      <c r="AO28" s="53">
        <f>'T&amp;M'!AZ32*9</f>
        <v>0</v>
      </c>
      <c r="AP28" s="53">
        <f>'T&amp;M'!BA32*9</f>
        <v>0</v>
      </c>
      <c r="AQ28" s="53">
        <f>'T&amp;M'!BB32*9</f>
        <v>0</v>
      </c>
      <c r="AR28" s="53">
        <f>'T&amp;M'!BC32*9</f>
        <v>0</v>
      </c>
      <c r="AS28" s="53">
        <f>'T&amp;M'!BD32*9</f>
        <v>0</v>
      </c>
      <c r="AT28" s="53">
        <f>'T&amp;M'!BE32*9</f>
        <v>0</v>
      </c>
      <c r="AU28" s="53">
        <f>'T&amp;M'!BF32*9</f>
        <v>0</v>
      </c>
      <c r="AV28" s="53">
        <f>'T&amp;M'!BG32*9</f>
        <v>0</v>
      </c>
      <c r="AW28" s="53">
        <f>'T&amp;M'!BH32*9</f>
        <v>0</v>
      </c>
      <c r="AX28" s="53">
        <f>'T&amp;M'!BI32*9</f>
        <v>0</v>
      </c>
      <c r="AY28" s="53">
        <f>'T&amp;M'!BJ32*9</f>
        <v>0</v>
      </c>
      <c r="AZ28" s="53">
        <f>'T&amp;M'!BK32*9</f>
        <v>0</v>
      </c>
      <c r="BA28" s="53">
        <f>'T&amp;M'!BL32*9</f>
        <v>0</v>
      </c>
    </row>
    <row r="29" spans="1:53" s="44" customFormat="1" ht="13" x14ac:dyDescent="0.4">
      <c r="A29" s="42" t="str">
        <f>'T&amp;M'!C34</f>
        <v>Employee Name</v>
      </c>
      <c r="B29" s="42" t="s">
        <v>2</v>
      </c>
      <c r="C29" s="42" t="s">
        <v>3</v>
      </c>
      <c r="D29" s="42" t="s">
        <v>4</v>
      </c>
      <c r="E29" s="42" t="s">
        <v>5</v>
      </c>
      <c r="F29" s="42" t="s">
        <v>6</v>
      </c>
      <c r="G29" s="42" t="s">
        <v>7</v>
      </c>
      <c r="H29" s="42" t="s">
        <v>8</v>
      </c>
      <c r="I29" s="42" t="s">
        <v>9</v>
      </c>
      <c r="J29" s="42" t="s">
        <v>10</v>
      </c>
      <c r="K29" s="42" t="s">
        <v>11</v>
      </c>
      <c r="L29" s="42" t="s">
        <v>12</v>
      </c>
      <c r="M29" s="42" t="s">
        <v>13</v>
      </c>
      <c r="N29" s="42" t="s">
        <v>14</v>
      </c>
      <c r="O29" s="42" t="s">
        <v>15</v>
      </c>
      <c r="P29" s="42" t="s">
        <v>16</v>
      </c>
      <c r="Q29" s="42" t="s">
        <v>17</v>
      </c>
      <c r="R29" s="42" t="s">
        <v>18</v>
      </c>
      <c r="S29" s="42" t="s">
        <v>19</v>
      </c>
      <c r="T29" s="42" t="s">
        <v>20</v>
      </c>
      <c r="U29" s="42" t="s">
        <v>21</v>
      </c>
      <c r="V29" s="42" t="s">
        <v>22</v>
      </c>
      <c r="W29" s="42" t="s">
        <v>23</v>
      </c>
      <c r="X29" s="42" t="s">
        <v>24</v>
      </c>
      <c r="Y29" s="42" t="s">
        <v>25</v>
      </c>
      <c r="Z29" s="42" t="s">
        <v>61</v>
      </c>
      <c r="AA29" s="42" t="s">
        <v>62</v>
      </c>
      <c r="AB29" s="42" t="s">
        <v>63</v>
      </c>
      <c r="AC29" s="42" t="s">
        <v>64</v>
      </c>
      <c r="AD29" s="42" t="s">
        <v>65</v>
      </c>
      <c r="AE29" s="42" t="s">
        <v>66</v>
      </c>
      <c r="AF29" s="42" t="s">
        <v>67</v>
      </c>
      <c r="AG29" s="42" t="s">
        <v>68</v>
      </c>
      <c r="AH29" s="42" t="s">
        <v>69</v>
      </c>
      <c r="AI29" s="42" t="s">
        <v>70</v>
      </c>
      <c r="AJ29" s="42" t="s">
        <v>71</v>
      </c>
      <c r="AK29" s="42" t="s">
        <v>72</v>
      </c>
      <c r="AL29" s="42" t="s">
        <v>73</v>
      </c>
      <c r="AM29" s="42" t="s">
        <v>74</v>
      </c>
      <c r="AN29" s="42" t="s">
        <v>75</v>
      </c>
      <c r="AO29" s="42" t="s">
        <v>76</v>
      </c>
      <c r="AP29" s="42" t="s">
        <v>77</v>
      </c>
      <c r="AQ29" s="42" t="s">
        <v>78</v>
      </c>
      <c r="AR29" s="42" t="s">
        <v>79</v>
      </c>
      <c r="AS29" s="42" t="s">
        <v>80</v>
      </c>
      <c r="AT29" s="42" t="s">
        <v>81</v>
      </c>
      <c r="AU29" s="42" t="s">
        <v>82</v>
      </c>
      <c r="AV29" s="42" t="s">
        <v>83</v>
      </c>
      <c r="AW29" s="42" t="s">
        <v>84</v>
      </c>
      <c r="AX29" s="42" t="s">
        <v>85</v>
      </c>
      <c r="AY29" s="42" t="s">
        <v>86</v>
      </c>
      <c r="AZ29" s="42" t="s">
        <v>87</v>
      </c>
      <c r="BA29" s="42" t="s">
        <v>88</v>
      </c>
    </row>
    <row r="30" spans="1:53" ht="13" x14ac:dyDescent="0.45">
      <c r="A30" s="45">
        <f>'T&amp;M'!C36</f>
        <v>0</v>
      </c>
      <c r="B30" s="53">
        <f>'T&amp;M'!M36*9</f>
        <v>0</v>
      </c>
      <c r="C30" s="53">
        <f>'T&amp;M'!N36*9</f>
        <v>0</v>
      </c>
      <c r="D30" s="53">
        <f>'T&amp;M'!O36*9</f>
        <v>0</v>
      </c>
      <c r="E30" s="53">
        <f>'T&amp;M'!P36*9</f>
        <v>0</v>
      </c>
      <c r="F30" s="53">
        <f>'T&amp;M'!Q36*9</f>
        <v>0</v>
      </c>
      <c r="G30" s="53">
        <f>'T&amp;M'!R36*9</f>
        <v>0</v>
      </c>
      <c r="H30" s="53">
        <f>'T&amp;M'!S36*9</f>
        <v>0</v>
      </c>
      <c r="I30" s="53">
        <f>'T&amp;M'!T36*9</f>
        <v>0</v>
      </c>
      <c r="J30" s="53">
        <f>'T&amp;M'!U36*9</f>
        <v>0</v>
      </c>
      <c r="K30" s="53">
        <f>'T&amp;M'!V36*9</f>
        <v>0</v>
      </c>
      <c r="L30" s="53">
        <f>'T&amp;M'!W36*9</f>
        <v>0</v>
      </c>
      <c r="M30" s="53">
        <f>'T&amp;M'!X36*9</f>
        <v>0</v>
      </c>
      <c r="N30" s="53">
        <f>'T&amp;M'!Y36*9</f>
        <v>0</v>
      </c>
      <c r="O30" s="53">
        <f>'T&amp;M'!Z36*9</f>
        <v>0</v>
      </c>
      <c r="P30" s="53">
        <f>'T&amp;M'!AA36*9</f>
        <v>0</v>
      </c>
      <c r="Q30" s="53">
        <f>'T&amp;M'!AB36*9</f>
        <v>0</v>
      </c>
      <c r="R30" s="53">
        <f>'T&amp;M'!AC36*9</f>
        <v>0</v>
      </c>
      <c r="S30" s="53">
        <f>'T&amp;M'!AD36*9</f>
        <v>0</v>
      </c>
      <c r="T30" s="53">
        <f>'T&amp;M'!AE36*9</f>
        <v>0</v>
      </c>
      <c r="U30" s="53">
        <f>'T&amp;M'!AF36*9</f>
        <v>0</v>
      </c>
      <c r="V30" s="53">
        <f>'T&amp;M'!AG36*9</f>
        <v>0</v>
      </c>
      <c r="W30" s="53">
        <f>'T&amp;M'!AH36*9</f>
        <v>0</v>
      </c>
      <c r="X30" s="53">
        <f>'T&amp;M'!AI36*9</f>
        <v>0</v>
      </c>
      <c r="Y30" s="53">
        <f>'T&amp;M'!AJ36*9</f>
        <v>0</v>
      </c>
      <c r="Z30" s="53">
        <f>'T&amp;M'!AK36*9</f>
        <v>0</v>
      </c>
      <c r="AA30" s="53">
        <f>'T&amp;M'!AL36*9</f>
        <v>0</v>
      </c>
      <c r="AB30" s="53">
        <f>'T&amp;M'!AM36*9</f>
        <v>0</v>
      </c>
      <c r="AC30" s="53">
        <f>'T&amp;M'!AN36*9</f>
        <v>0</v>
      </c>
      <c r="AD30" s="53">
        <f>'T&amp;M'!AO36*9</f>
        <v>0</v>
      </c>
      <c r="AE30" s="53">
        <f>'T&amp;M'!AP36*9</f>
        <v>0</v>
      </c>
      <c r="AF30" s="53">
        <f>'T&amp;M'!AQ36*9</f>
        <v>0</v>
      </c>
      <c r="AG30" s="53">
        <f>'T&amp;M'!AR36*9</f>
        <v>0</v>
      </c>
      <c r="AH30" s="53">
        <f>'T&amp;M'!AS36*9</f>
        <v>0</v>
      </c>
      <c r="AI30" s="53">
        <f>'T&amp;M'!AT36*9</f>
        <v>0</v>
      </c>
      <c r="AJ30" s="53">
        <f>'T&amp;M'!AU36*9</f>
        <v>0</v>
      </c>
      <c r="AK30" s="53">
        <f>'T&amp;M'!AV36*9</f>
        <v>0</v>
      </c>
      <c r="AL30" s="53">
        <f>'T&amp;M'!AW36*9</f>
        <v>0</v>
      </c>
      <c r="AM30" s="53">
        <f>'T&amp;M'!AX36*9</f>
        <v>0</v>
      </c>
      <c r="AN30" s="53">
        <f>'T&amp;M'!AY36*9</f>
        <v>0</v>
      </c>
      <c r="AO30" s="53">
        <f>'T&amp;M'!AZ36*9</f>
        <v>0</v>
      </c>
      <c r="AP30" s="53">
        <f>'T&amp;M'!BA36*9</f>
        <v>0</v>
      </c>
      <c r="AQ30" s="53">
        <f>'T&amp;M'!BB36*9</f>
        <v>0</v>
      </c>
      <c r="AR30" s="53">
        <f>'T&amp;M'!BC36*9</f>
        <v>0</v>
      </c>
      <c r="AS30" s="53">
        <f>'T&amp;M'!BD36*9</f>
        <v>0</v>
      </c>
      <c r="AT30" s="53">
        <f>'T&amp;M'!BE36*9</f>
        <v>0</v>
      </c>
      <c r="AU30" s="53">
        <f>'T&amp;M'!BF36*9</f>
        <v>0</v>
      </c>
      <c r="AV30" s="53">
        <f>'T&amp;M'!BG36*9</f>
        <v>0</v>
      </c>
      <c r="AW30" s="53">
        <f>'T&amp;M'!BH36*9</f>
        <v>0</v>
      </c>
      <c r="AX30" s="53">
        <f>'T&amp;M'!BI36*9</f>
        <v>0</v>
      </c>
      <c r="AY30" s="53">
        <f>'T&amp;M'!BJ36*9</f>
        <v>0</v>
      </c>
      <c r="AZ30" s="53">
        <f>'T&amp;M'!BK36*9</f>
        <v>0</v>
      </c>
      <c r="BA30" s="53">
        <f>'T&amp;M'!BL36*9</f>
        <v>0</v>
      </c>
    </row>
    <row r="31" spans="1:53" ht="13" x14ac:dyDescent="0.45">
      <c r="A31" s="45">
        <f>'T&amp;M'!C37</f>
        <v>0</v>
      </c>
      <c r="B31" s="53">
        <f>'T&amp;M'!M37*9</f>
        <v>0</v>
      </c>
      <c r="C31" s="53">
        <f>'T&amp;M'!N37*9</f>
        <v>0</v>
      </c>
      <c r="D31" s="53">
        <f>'T&amp;M'!O37*9</f>
        <v>0</v>
      </c>
      <c r="E31" s="53">
        <f>'T&amp;M'!P37*9</f>
        <v>0</v>
      </c>
      <c r="F31" s="53">
        <f>'T&amp;M'!Q37*9</f>
        <v>0</v>
      </c>
      <c r="G31" s="53">
        <f>'T&amp;M'!R37*9</f>
        <v>0</v>
      </c>
      <c r="H31" s="53">
        <f>'T&amp;M'!S37*9</f>
        <v>0</v>
      </c>
      <c r="I31" s="53">
        <f>'T&amp;M'!T37*9</f>
        <v>0</v>
      </c>
      <c r="J31" s="53">
        <f>'T&amp;M'!U37*9</f>
        <v>0</v>
      </c>
      <c r="K31" s="53">
        <f>'T&amp;M'!V37*9</f>
        <v>0</v>
      </c>
      <c r="L31" s="53">
        <f>'T&amp;M'!W37*9</f>
        <v>0</v>
      </c>
      <c r="M31" s="53">
        <f>'T&amp;M'!X37*9</f>
        <v>0</v>
      </c>
      <c r="N31" s="53">
        <f>'T&amp;M'!Y37*9</f>
        <v>0</v>
      </c>
      <c r="O31" s="53">
        <f>'T&amp;M'!Z37*9</f>
        <v>0</v>
      </c>
      <c r="P31" s="53">
        <f>'T&amp;M'!AA37*9</f>
        <v>0</v>
      </c>
      <c r="Q31" s="53">
        <f>'T&amp;M'!AB37*9</f>
        <v>0</v>
      </c>
      <c r="R31" s="53">
        <f>'T&amp;M'!AC37*9</f>
        <v>0</v>
      </c>
      <c r="S31" s="53">
        <f>'T&amp;M'!AD37*9</f>
        <v>0</v>
      </c>
      <c r="T31" s="53">
        <f>'T&amp;M'!AE37*9</f>
        <v>0</v>
      </c>
      <c r="U31" s="53">
        <f>'T&amp;M'!AF37*9</f>
        <v>0</v>
      </c>
      <c r="V31" s="53">
        <f>'T&amp;M'!AG37*9</f>
        <v>0</v>
      </c>
      <c r="W31" s="53">
        <f>'T&amp;M'!AH37*9</f>
        <v>0</v>
      </c>
      <c r="X31" s="53">
        <f>'T&amp;M'!AI37*9</f>
        <v>0</v>
      </c>
      <c r="Y31" s="53">
        <f>'T&amp;M'!AJ37*9</f>
        <v>0</v>
      </c>
      <c r="Z31" s="53">
        <f>'T&amp;M'!AK37*9</f>
        <v>0</v>
      </c>
      <c r="AA31" s="53">
        <f>'T&amp;M'!AL37*9</f>
        <v>0</v>
      </c>
      <c r="AB31" s="53">
        <f>'T&amp;M'!AM37*9</f>
        <v>0</v>
      </c>
      <c r="AC31" s="53">
        <f>'T&amp;M'!AN37*9</f>
        <v>0</v>
      </c>
      <c r="AD31" s="53">
        <f>'T&amp;M'!AO37*9</f>
        <v>0</v>
      </c>
      <c r="AE31" s="53">
        <f>'T&amp;M'!AP37*9</f>
        <v>0</v>
      </c>
      <c r="AF31" s="53">
        <f>'T&amp;M'!AQ37*9</f>
        <v>0</v>
      </c>
      <c r="AG31" s="53">
        <f>'T&amp;M'!AR37*9</f>
        <v>0</v>
      </c>
      <c r="AH31" s="53">
        <f>'T&amp;M'!AS37*9</f>
        <v>0</v>
      </c>
      <c r="AI31" s="53">
        <f>'T&amp;M'!AT37*9</f>
        <v>0</v>
      </c>
      <c r="AJ31" s="53">
        <f>'T&amp;M'!AU37*9</f>
        <v>0</v>
      </c>
      <c r="AK31" s="53">
        <f>'T&amp;M'!AV37*9</f>
        <v>0</v>
      </c>
      <c r="AL31" s="53">
        <f>'T&amp;M'!AW37*9</f>
        <v>0</v>
      </c>
      <c r="AM31" s="53">
        <f>'T&amp;M'!AX37*9</f>
        <v>0</v>
      </c>
      <c r="AN31" s="53">
        <f>'T&amp;M'!AY37*9</f>
        <v>0</v>
      </c>
      <c r="AO31" s="53">
        <f>'T&amp;M'!AZ37*9</f>
        <v>0</v>
      </c>
      <c r="AP31" s="53">
        <f>'T&amp;M'!BA37*9</f>
        <v>0</v>
      </c>
      <c r="AQ31" s="53">
        <f>'T&amp;M'!BB37*9</f>
        <v>0</v>
      </c>
      <c r="AR31" s="53">
        <f>'T&amp;M'!BC37*9</f>
        <v>0</v>
      </c>
      <c r="AS31" s="53">
        <f>'T&amp;M'!BD37*9</f>
        <v>0</v>
      </c>
      <c r="AT31" s="53">
        <f>'T&amp;M'!BE37*9</f>
        <v>0</v>
      </c>
      <c r="AU31" s="53">
        <f>'T&amp;M'!BF37*9</f>
        <v>0</v>
      </c>
      <c r="AV31" s="53">
        <f>'T&amp;M'!BG37*9</f>
        <v>0</v>
      </c>
      <c r="AW31" s="53">
        <f>'T&amp;M'!BH37*9</f>
        <v>0</v>
      </c>
      <c r="AX31" s="53">
        <f>'T&amp;M'!BI37*9</f>
        <v>0</v>
      </c>
      <c r="AY31" s="53">
        <f>'T&amp;M'!BJ37*9</f>
        <v>0</v>
      </c>
      <c r="AZ31" s="53">
        <f>'T&amp;M'!BK37*9</f>
        <v>0</v>
      </c>
      <c r="BA31" s="53">
        <f>'T&amp;M'!BL37*9</f>
        <v>0</v>
      </c>
    </row>
    <row r="32" spans="1:53" ht="13" x14ac:dyDescent="0.45">
      <c r="A32" s="45">
        <f>'T&amp;M'!C38</f>
        <v>0</v>
      </c>
      <c r="B32" s="53">
        <f>'T&amp;M'!M38*9</f>
        <v>0</v>
      </c>
      <c r="C32" s="53">
        <f>'T&amp;M'!N38*9</f>
        <v>0</v>
      </c>
      <c r="D32" s="53">
        <f>'T&amp;M'!O38*9</f>
        <v>0</v>
      </c>
      <c r="E32" s="53">
        <f>'T&amp;M'!P38*9</f>
        <v>0</v>
      </c>
      <c r="F32" s="53">
        <f>'T&amp;M'!Q38*9</f>
        <v>0</v>
      </c>
      <c r="G32" s="53">
        <f>'T&amp;M'!R38*9</f>
        <v>0</v>
      </c>
      <c r="H32" s="53">
        <f>'T&amp;M'!S38*9</f>
        <v>0</v>
      </c>
      <c r="I32" s="53">
        <f>'T&amp;M'!T38*9</f>
        <v>0</v>
      </c>
      <c r="J32" s="53">
        <f>'T&amp;M'!U38*9</f>
        <v>0</v>
      </c>
      <c r="K32" s="53">
        <f>'T&amp;M'!V38*9</f>
        <v>0</v>
      </c>
      <c r="L32" s="53">
        <f>'T&amp;M'!W38*9</f>
        <v>0</v>
      </c>
      <c r="M32" s="53">
        <f>'T&amp;M'!X38*9</f>
        <v>0</v>
      </c>
      <c r="N32" s="53">
        <f>'T&amp;M'!Y38*9</f>
        <v>0</v>
      </c>
      <c r="O32" s="53">
        <f>'T&amp;M'!Z38*9</f>
        <v>0</v>
      </c>
      <c r="P32" s="53">
        <f>'T&amp;M'!AA38*9</f>
        <v>0</v>
      </c>
      <c r="Q32" s="53">
        <f>'T&amp;M'!AB38*9</f>
        <v>0</v>
      </c>
      <c r="R32" s="53">
        <f>'T&amp;M'!AC38*9</f>
        <v>0</v>
      </c>
      <c r="S32" s="53">
        <f>'T&amp;M'!AD38*9</f>
        <v>0</v>
      </c>
      <c r="T32" s="53">
        <f>'T&amp;M'!AE38*9</f>
        <v>0</v>
      </c>
      <c r="U32" s="53">
        <f>'T&amp;M'!AF38*9</f>
        <v>0</v>
      </c>
      <c r="V32" s="53">
        <f>'T&amp;M'!AG38*9</f>
        <v>0</v>
      </c>
      <c r="W32" s="53">
        <f>'T&amp;M'!AH38*9</f>
        <v>0</v>
      </c>
      <c r="X32" s="53">
        <f>'T&amp;M'!AI38*9</f>
        <v>0</v>
      </c>
      <c r="Y32" s="53">
        <f>'T&amp;M'!AJ38*9</f>
        <v>0</v>
      </c>
      <c r="Z32" s="53">
        <f>'T&amp;M'!AK38*9</f>
        <v>0</v>
      </c>
      <c r="AA32" s="53">
        <f>'T&amp;M'!AL38*9</f>
        <v>0</v>
      </c>
      <c r="AB32" s="53">
        <f>'T&amp;M'!AM38*9</f>
        <v>0</v>
      </c>
      <c r="AC32" s="53">
        <f>'T&amp;M'!AN38*9</f>
        <v>0</v>
      </c>
      <c r="AD32" s="53">
        <f>'T&amp;M'!AO38*9</f>
        <v>0</v>
      </c>
      <c r="AE32" s="53">
        <f>'T&amp;M'!AP38*9</f>
        <v>0</v>
      </c>
      <c r="AF32" s="53">
        <f>'T&amp;M'!AQ38*9</f>
        <v>0</v>
      </c>
      <c r="AG32" s="53">
        <f>'T&amp;M'!AR38*9</f>
        <v>0</v>
      </c>
      <c r="AH32" s="53">
        <f>'T&amp;M'!AS38*9</f>
        <v>0</v>
      </c>
      <c r="AI32" s="53">
        <f>'T&amp;M'!AT38*9</f>
        <v>0</v>
      </c>
      <c r="AJ32" s="53">
        <f>'T&amp;M'!AU38*9</f>
        <v>0</v>
      </c>
      <c r="AK32" s="53">
        <f>'T&amp;M'!AV38*9</f>
        <v>0</v>
      </c>
      <c r="AL32" s="53">
        <f>'T&amp;M'!AW38*9</f>
        <v>0</v>
      </c>
      <c r="AM32" s="53">
        <f>'T&amp;M'!AX38*9</f>
        <v>0</v>
      </c>
      <c r="AN32" s="53">
        <f>'T&amp;M'!AY38*9</f>
        <v>0</v>
      </c>
      <c r="AO32" s="53">
        <f>'T&amp;M'!AZ38*9</f>
        <v>0</v>
      </c>
      <c r="AP32" s="53">
        <f>'T&amp;M'!BA38*9</f>
        <v>0</v>
      </c>
      <c r="AQ32" s="53">
        <f>'T&amp;M'!BB38*9</f>
        <v>0</v>
      </c>
      <c r="AR32" s="53">
        <f>'T&amp;M'!BC38*9</f>
        <v>0</v>
      </c>
      <c r="AS32" s="53">
        <f>'T&amp;M'!BD38*9</f>
        <v>0</v>
      </c>
      <c r="AT32" s="53">
        <f>'T&amp;M'!BE38*9</f>
        <v>0</v>
      </c>
      <c r="AU32" s="53">
        <f>'T&amp;M'!BF38*9</f>
        <v>0</v>
      </c>
      <c r="AV32" s="53">
        <f>'T&amp;M'!BG38*9</f>
        <v>0</v>
      </c>
      <c r="AW32" s="53">
        <f>'T&amp;M'!BH38*9</f>
        <v>0</v>
      </c>
      <c r="AX32" s="53">
        <f>'T&amp;M'!BI38*9</f>
        <v>0</v>
      </c>
      <c r="AY32" s="53">
        <f>'T&amp;M'!BJ38*9</f>
        <v>0</v>
      </c>
      <c r="AZ32" s="53">
        <f>'T&amp;M'!BK38*9</f>
        <v>0</v>
      </c>
      <c r="BA32" s="53">
        <f>'T&amp;M'!BL38*9</f>
        <v>0</v>
      </c>
    </row>
    <row r="33" spans="1:53" ht="13" x14ac:dyDescent="0.45">
      <c r="A33" s="45">
        <f>'T&amp;M'!C39</f>
        <v>0</v>
      </c>
      <c r="B33" s="53">
        <f>'T&amp;M'!M39*9</f>
        <v>0</v>
      </c>
      <c r="C33" s="53">
        <f>'T&amp;M'!N39*9</f>
        <v>0</v>
      </c>
      <c r="D33" s="53">
        <f>'T&amp;M'!O39*9</f>
        <v>0</v>
      </c>
      <c r="E33" s="53">
        <f>'T&amp;M'!P39*9</f>
        <v>0</v>
      </c>
      <c r="F33" s="53">
        <f>'T&amp;M'!Q39*9</f>
        <v>0</v>
      </c>
      <c r="G33" s="53">
        <f>'T&amp;M'!R39*9</f>
        <v>0</v>
      </c>
      <c r="H33" s="53">
        <f>'T&amp;M'!S39*9</f>
        <v>0</v>
      </c>
      <c r="I33" s="53">
        <f>'T&amp;M'!T39*9</f>
        <v>0</v>
      </c>
      <c r="J33" s="53">
        <f>'T&amp;M'!U39*9</f>
        <v>0</v>
      </c>
      <c r="K33" s="53">
        <f>'T&amp;M'!V39*9</f>
        <v>0</v>
      </c>
      <c r="L33" s="53">
        <f>'T&amp;M'!W39*9</f>
        <v>0</v>
      </c>
      <c r="M33" s="53">
        <f>'T&amp;M'!X39*9</f>
        <v>0</v>
      </c>
      <c r="N33" s="53">
        <f>'T&amp;M'!Y39*9</f>
        <v>0</v>
      </c>
      <c r="O33" s="53">
        <f>'T&amp;M'!Z39*9</f>
        <v>0</v>
      </c>
      <c r="P33" s="53">
        <f>'T&amp;M'!AA39*9</f>
        <v>0</v>
      </c>
      <c r="Q33" s="53">
        <f>'T&amp;M'!AB39*9</f>
        <v>0</v>
      </c>
      <c r="R33" s="53">
        <f>'T&amp;M'!AC39*9</f>
        <v>0</v>
      </c>
      <c r="S33" s="53">
        <f>'T&amp;M'!AD39*9</f>
        <v>0</v>
      </c>
      <c r="T33" s="53">
        <f>'T&amp;M'!AE39*9</f>
        <v>0</v>
      </c>
      <c r="U33" s="53">
        <f>'T&amp;M'!AF39*9</f>
        <v>0</v>
      </c>
      <c r="V33" s="53">
        <f>'T&amp;M'!AG39*9</f>
        <v>0</v>
      </c>
      <c r="W33" s="53">
        <f>'T&amp;M'!AH39*9</f>
        <v>0</v>
      </c>
      <c r="X33" s="53">
        <f>'T&amp;M'!AI39*9</f>
        <v>0</v>
      </c>
      <c r="Y33" s="53">
        <f>'T&amp;M'!AJ39*9</f>
        <v>0</v>
      </c>
      <c r="Z33" s="53">
        <f>'T&amp;M'!AK39*9</f>
        <v>0</v>
      </c>
      <c r="AA33" s="53">
        <f>'T&amp;M'!AL39*9</f>
        <v>0</v>
      </c>
      <c r="AB33" s="53">
        <f>'T&amp;M'!AM39*9</f>
        <v>0</v>
      </c>
      <c r="AC33" s="53">
        <f>'T&amp;M'!AN39*9</f>
        <v>0</v>
      </c>
      <c r="AD33" s="53">
        <f>'T&amp;M'!AO39*9</f>
        <v>0</v>
      </c>
      <c r="AE33" s="53">
        <f>'T&amp;M'!AP39*9</f>
        <v>0</v>
      </c>
      <c r="AF33" s="53">
        <f>'T&amp;M'!AQ39*9</f>
        <v>0</v>
      </c>
      <c r="AG33" s="53">
        <f>'T&amp;M'!AR39*9</f>
        <v>0</v>
      </c>
      <c r="AH33" s="53">
        <f>'T&amp;M'!AS39*9</f>
        <v>0</v>
      </c>
      <c r="AI33" s="53">
        <f>'T&amp;M'!AT39*9</f>
        <v>0</v>
      </c>
      <c r="AJ33" s="53">
        <f>'T&amp;M'!AU39*9</f>
        <v>0</v>
      </c>
      <c r="AK33" s="53">
        <f>'T&amp;M'!AV39*9</f>
        <v>0</v>
      </c>
      <c r="AL33" s="53">
        <f>'T&amp;M'!AW39*9</f>
        <v>0</v>
      </c>
      <c r="AM33" s="53">
        <f>'T&amp;M'!AX39*9</f>
        <v>0</v>
      </c>
      <c r="AN33" s="53">
        <f>'T&amp;M'!AY39*9</f>
        <v>0</v>
      </c>
      <c r="AO33" s="53">
        <f>'T&amp;M'!AZ39*9</f>
        <v>0</v>
      </c>
      <c r="AP33" s="53">
        <f>'T&amp;M'!BA39*9</f>
        <v>0</v>
      </c>
      <c r="AQ33" s="53">
        <f>'T&amp;M'!BB39*9</f>
        <v>0</v>
      </c>
      <c r="AR33" s="53">
        <f>'T&amp;M'!BC39*9</f>
        <v>0</v>
      </c>
      <c r="AS33" s="53">
        <f>'T&amp;M'!BD39*9</f>
        <v>0</v>
      </c>
      <c r="AT33" s="53">
        <f>'T&amp;M'!BE39*9</f>
        <v>0</v>
      </c>
      <c r="AU33" s="53">
        <f>'T&amp;M'!BF39*9</f>
        <v>0</v>
      </c>
      <c r="AV33" s="53">
        <f>'T&amp;M'!BG39*9</f>
        <v>0</v>
      </c>
      <c r="AW33" s="53">
        <f>'T&amp;M'!BH39*9</f>
        <v>0</v>
      </c>
      <c r="AX33" s="53">
        <f>'T&amp;M'!BI39*9</f>
        <v>0</v>
      </c>
      <c r="AY33" s="53">
        <f>'T&amp;M'!BJ39*9</f>
        <v>0</v>
      </c>
      <c r="AZ33" s="53">
        <f>'T&amp;M'!BK39*9</f>
        <v>0</v>
      </c>
      <c r="BA33" s="53">
        <f>'T&amp;M'!BL39*9</f>
        <v>0</v>
      </c>
    </row>
    <row r="34" spans="1:53" ht="13" x14ac:dyDescent="0.45">
      <c r="A34" s="45">
        <f>'T&amp;M'!C40</f>
        <v>0</v>
      </c>
      <c r="B34" s="53">
        <f>'T&amp;M'!M40*9</f>
        <v>0</v>
      </c>
      <c r="C34" s="53">
        <f>'T&amp;M'!N40*9</f>
        <v>0</v>
      </c>
      <c r="D34" s="53">
        <f>'T&amp;M'!O40*9</f>
        <v>0</v>
      </c>
      <c r="E34" s="53">
        <f>'T&amp;M'!P40*9</f>
        <v>0</v>
      </c>
      <c r="F34" s="53">
        <f>'T&amp;M'!Q40*9</f>
        <v>0</v>
      </c>
      <c r="G34" s="53">
        <f>'T&amp;M'!R40*9</f>
        <v>0</v>
      </c>
      <c r="H34" s="53">
        <f>'T&amp;M'!S40*9</f>
        <v>0</v>
      </c>
      <c r="I34" s="53">
        <f>'T&amp;M'!T40*9</f>
        <v>0</v>
      </c>
      <c r="J34" s="53">
        <f>'T&amp;M'!U40*9</f>
        <v>0</v>
      </c>
      <c r="K34" s="53">
        <f>'T&amp;M'!V40*9</f>
        <v>0</v>
      </c>
      <c r="L34" s="53">
        <f>'T&amp;M'!W40*9</f>
        <v>0</v>
      </c>
      <c r="M34" s="53">
        <f>'T&amp;M'!X40*9</f>
        <v>0</v>
      </c>
      <c r="N34" s="53">
        <f>'T&amp;M'!Y40*9</f>
        <v>0</v>
      </c>
      <c r="O34" s="53">
        <f>'T&amp;M'!Z40*9</f>
        <v>0</v>
      </c>
      <c r="P34" s="53">
        <f>'T&amp;M'!AA40*9</f>
        <v>0</v>
      </c>
      <c r="Q34" s="53">
        <f>'T&amp;M'!AB40*9</f>
        <v>0</v>
      </c>
      <c r="R34" s="53">
        <f>'T&amp;M'!AC40*9</f>
        <v>0</v>
      </c>
      <c r="S34" s="53">
        <f>'T&amp;M'!AD40*9</f>
        <v>0</v>
      </c>
      <c r="T34" s="53">
        <f>'T&amp;M'!AE40*9</f>
        <v>0</v>
      </c>
      <c r="U34" s="53">
        <f>'T&amp;M'!AF40*9</f>
        <v>0</v>
      </c>
      <c r="V34" s="53">
        <f>'T&amp;M'!AG40*9</f>
        <v>0</v>
      </c>
      <c r="W34" s="53">
        <f>'T&amp;M'!AH40*9</f>
        <v>0</v>
      </c>
      <c r="X34" s="53">
        <f>'T&amp;M'!AI40*9</f>
        <v>0</v>
      </c>
      <c r="Y34" s="53">
        <f>'T&amp;M'!AJ40*9</f>
        <v>0</v>
      </c>
      <c r="Z34" s="53">
        <f>'T&amp;M'!AK40*9</f>
        <v>0</v>
      </c>
      <c r="AA34" s="53">
        <f>'T&amp;M'!AL40*9</f>
        <v>0</v>
      </c>
      <c r="AB34" s="53">
        <f>'T&amp;M'!AM40*9</f>
        <v>0</v>
      </c>
      <c r="AC34" s="53">
        <f>'T&amp;M'!AN40*9</f>
        <v>0</v>
      </c>
      <c r="AD34" s="53">
        <f>'T&amp;M'!AO40*9</f>
        <v>0</v>
      </c>
      <c r="AE34" s="53">
        <f>'T&amp;M'!AP40*9</f>
        <v>0</v>
      </c>
      <c r="AF34" s="53">
        <f>'T&amp;M'!AQ40*9</f>
        <v>0</v>
      </c>
      <c r="AG34" s="53">
        <f>'T&amp;M'!AR40*9</f>
        <v>0</v>
      </c>
      <c r="AH34" s="53">
        <f>'T&amp;M'!AS40*9</f>
        <v>0</v>
      </c>
      <c r="AI34" s="53">
        <f>'T&amp;M'!AT40*9</f>
        <v>0</v>
      </c>
      <c r="AJ34" s="53">
        <f>'T&amp;M'!AU40*9</f>
        <v>0</v>
      </c>
      <c r="AK34" s="53">
        <f>'T&amp;M'!AV40*9</f>
        <v>0</v>
      </c>
      <c r="AL34" s="53">
        <f>'T&amp;M'!AW40*9</f>
        <v>0</v>
      </c>
      <c r="AM34" s="53">
        <f>'T&amp;M'!AX40*9</f>
        <v>0</v>
      </c>
      <c r="AN34" s="53">
        <f>'T&amp;M'!AY40*9</f>
        <v>0</v>
      </c>
      <c r="AO34" s="53">
        <f>'T&amp;M'!AZ40*9</f>
        <v>0</v>
      </c>
      <c r="AP34" s="53">
        <f>'T&amp;M'!BA40*9</f>
        <v>0</v>
      </c>
      <c r="AQ34" s="53">
        <f>'T&amp;M'!BB40*9</f>
        <v>0</v>
      </c>
      <c r="AR34" s="53">
        <f>'T&amp;M'!BC40*9</f>
        <v>0</v>
      </c>
      <c r="AS34" s="53">
        <f>'T&amp;M'!BD40*9</f>
        <v>0</v>
      </c>
      <c r="AT34" s="53">
        <f>'T&amp;M'!BE40*9</f>
        <v>0</v>
      </c>
      <c r="AU34" s="53">
        <f>'T&amp;M'!BF40*9</f>
        <v>0</v>
      </c>
      <c r="AV34" s="53">
        <f>'T&amp;M'!BG40*9</f>
        <v>0</v>
      </c>
      <c r="AW34" s="53">
        <f>'T&amp;M'!BH40*9</f>
        <v>0</v>
      </c>
      <c r="AX34" s="53">
        <f>'T&amp;M'!BI40*9</f>
        <v>0</v>
      </c>
      <c r="AY34" s="53">
        <f>'T&amp;M'!BJ40*9</f>
        <v>0</v>
      </c>
      <c r="AZ34" s="53">
        <f>'T&amp;M'!BK40*9</f>
        <v>0</v>
      </c>
      <c r="BA34" s="53">
        <f>'T&amp;M'!BL40*9</f>
        <v>0</v>
      </c>
    </row>
    <row r="35" spans="1:53" ht="13" x14ac:dyDescent="0.45">
      <c r="A35" s="45">
        <f>'T&amp;M'!C41</f>
        <v>0</v>
      </c>
      <c r="B35" s="53">
        <f>'T&amp;M'!M41*9</f>
        <v>0</v>
      </c>
      <c r="C35" s="53">
        <f>'T&amp;M'!N41*9</f>
        <v>0</v>
      </c>
      <c r="D35" s="53">
        <f>'T&amp;M'!O41*9</f>
        <v>0</v>
      </c>
      <c r="E35" s="53">
        <f>'T&amp;M'!P41*9</f>
        <v>0</v>
      </c>
      <c r="F35" s="53">
        <f>'T&amp;M'!Q41*9</f>
        <v>0</v>
      </c>
      <c r="G35" s="53">
        <f>'T&amp;M'!R41*9</f>
        <v>0</v>
      </c>
      <c r="H35" s="53">
        <f>'T&amp;M'!S41*9</f>
        <v>0</v>
      </c>
      <c r="I35" s="53">
        <f>'T&amp;M'!T41*9</f>
        <v>0</v>
      </c>
      <c r="J35" s="53">
        <f>'T&amp;M'!U41*9</f>
        <v>0</v>
      </c>
      <c r="K35" s="53">
        <f>'T&amp;M'!V41*9</f>
        <v>0</v>
      </c>
      <c r="L35" s="53">
        <f>'T&amp;M'!W41*9</f>
        <v>0</v>
      </c>
      <c r="M35" s="53">
        <f>'T&amp;M'!X41*9</f>
        <v>0</v>
      </c>
      <c r="N35" s="53">
        <f>'T&amp;M'!Y41*9</f>
        <v>0</v>
      </c>
      <c r="O35" s="53">
        <f>'T&amp;M'!Z41*9</f>
        <v>0</v>
      </c>
      <c r="P35" s="53">
        <f>'T&amp;M'!AA41*9</f>
        <v>0</v>
      </c>
      <c r="Q35" s="53">
        <f>'T&amp;M'!AB41*9</f>
        <v>0</v>
      </c>
      <c r="R35" s="53">
        <f>'T&amp;M'!AC41*9</f>
        <v>0</v>
      </c>
      <c r="S35" s="53">
        <f>'T&amp;M'!AD41*9</f>
        <v>0</v>
      </c>
      <c r="T35" s="53">
        <f>'T&amp;M'!AE41*9</f>
        <v>0</v>
      </c>
      <c r="U35" s="53">
        <f>'T&amp;M'!AF41*9</f>
        <v>0</v>
      </c>
      <c r="V35" s="53">
        <f>'T&amp;M'!AG41*9</f>
        <v>0</v>
      </c>
      <c r="W35" s="53">
        <f>'T&amp;M'!AH41*9</f>
        <v>0</v>
      </c>
      <c r="X35" s="53">
        <f>'T&amp;M'!AI41*9</f>
        <v>0</v>
      </c>
      <c r="Y35" s="53">
        <f>'T&amp;M'!AJ41*9</f>
        <v>0</v>
      </c>
      <c r="Z35" s="53">
        <f>'T&amp;M'!AK41*9</f>
        <v>0</v>
      </c>
      <c r="AA35" s="53">
        <f>'T&amp;M'!AL41*9</f>
        <v>0</v>
      </c>
      <c r="AB35" s="53">
        <f>'T&amp;M'!AM41*9</f>
        <v>0</v>
      </c>
      <c r="AC35" s="53">
        <f>'T&amp;M'!AN41*9</f>
        <v>0</v>
      </c>
      <c r="AD35" s="53">
        <f>'T&amp;M'!AO41*9</f>
        <v>0</v>
      </c>
      <c r="AE35" s="53">
        <f>'T&amp;M'!AP41*9</f>
        <v>0</v>
      </c>
      <c r="AF35" s="53">
        <f>'T&amp;M'!AQ41*9</f>
        <v>0</v>
      </c>
      <c r="AG35" s="53">
        <f>'T&amp;M'!AR41*9</f>
        <v>0</v>
      </c>
      <c r="AH35" s="53">
        <f>'T&amp;M'!AS41*9</f>
        <v>0</v>
      </c>
      <c r="AI35" s="53">
        <f>'T&amp;M'!AT41*9</f>
        <v>0</v>
      </c>
      <c r="AJ35" s="53">
        <f>'T&amp;M'!AU41*9</f>
        <v>0</v>
      </c>
      <c r="AK35" s="53">
        <f>'T&amp;M'!AV41*9</f>
        <v>0</v>
      </c>
      <c r="AL35" s="53">
        <f>'T&amp;M'!AW41*9</f>
        <v>0</v>
      </c>
      <c r="AM35" s="53">
        <f>'T&amp;M'!AX41*9</f>
        <v>0</v>
      </c>
      <c r="AN35" s="53">
        <f>'T&amp;M'!AY41*9</f>
        <v>0</v>
      </c>
      <c r="AO35" s="53">
        <f>'T&amp;M'!AZ41*9</f>
        <v>0</v>
      </c>
      <c r="AP35" s="53">
        <f>'T&amp;M'!BA41*9</f>
        <v>0</v>
      </c>
      <c r="AQ35" s="53">
        <f>'T&amp;M'!BB41*9</f>
        <v>0</v>
      </c>
      <c r="AR35" s="53">
        <f>'T&amp;M'!BC41*9</f>
        <v>0</v>
      </c>
      <c r="AS35" s="53">
        <f>'T&amp;M'!BD41*9</f>
        <v>0</v>
      </c>
      <c r="AT35" s="53">
        <f>'T&amp;M'!BE41*9</f>
        <v>0</v>
      </c>
      <c r="AU35" s="53">
        <f>'T&amp;M'!BF41*9</f>
        <v>0</v>
      </c>
      <c r="AV35" s="53">
        <f>'T&amp;M'!BG41*9</f>
        <v>0</v>
      </c>
      <c r="AW35" s="53">
        <f>'T&amp;M'!BH41*9</f>
        <v>0</v>
      </c>
      <c r="AX35" s="53">
        <f>'T&amp;M'!BI41*9</f>
        <v>0</v>
      </c>
      <c r="AY35" s="53">
        <f>'T&amp;M'!BJ41*9</f>
        <v>0</v>
      </c>
      <c r="AZ35" s="53">
        <f>'T&amp;M'!BK41*9</f>
        <v>0</v>
      </c>
      <c r="BA35" s="53">
        <f>'T&amp;M'!BL41*9</f>
        <v>0</v>
      </c>
    </row>
    <row r="36" spans="1:53" ht="13" x14ac:dyDescent="0.45">
      <c r="A36" s="45">
        <f>'T&amp;M'!C42</f>
        <v>0</v>
      </c>
      <c r="B36" s="53">
        <f>'T&amp;M'!M42*9</f>
        <v>0</v>
      </c>
      <c r="C36" s="53">
        <f>'T&amp;M'!N42*9</f>
        <v>0</v>
      </c>
      <c r="D36" s="53">
        <f>'T&amp;M'!O42*9</f>
        <v>0</v>
      </c>
      <c r="E36" s="53">
        <f>'T&amp;M'!P42*9</f>
        <v>0</v>
      </c>
      <c r="F36" s="53">
        <f>'T&amp;M'!Q42*9</f>
        <v>0</v>
      </c>
      <c r="G36" s="53">
        <f>'T&amp;M'!R42*9</f>
        <v>0</v>
      </c>
      <c r="H36" s="53">
        <f>'T&amp;M'!S42*9</f>
        <v>0</v>
      </c>
      <c r="I36" s="53">
        <f>'T&amp;M'!T42*9</f>
        <v>0</v>
      </c>
      <c r="J36" s="53">
        <f>'T&amp;M'!U42*9</f>
        <v>0</v>
      </c>
      <c r="K36" s="53">
        <f>'T&amp;M'!V42*9</f>
        <v>0</v>
      </c>
      <c r="L36" s="53">
        <f>'T&amp;M'!W42*9</f>
        <v>0</v>
      </c>
      <c r="M36" s="53">
        <f>'T&amp;M'!X42*9</f>
        <v>0</v>
      </c>
      <c r="N36" s="53">
        <f>'T&amp;M'!Y42*9</f>
        <v>0</v>
      </c>
      <c r="O36" s="53">
        <f>'T&amp;M'!Z42*9</f>
        <v>0</v>
      </c>
      <c r="P36" s="53">
        <f>'T&amp;M'!AA42*9</f>
        <v>0</v>
      </c>
      <c r="Q36" s="53">
        <f>'T&amp;M'!AB42*9</f>
        <v>0</v>
      </c>
      <c r="R36" s="53">
        <f>'T&amp;M'!AC42*9</f>
        <v>0</v>
      </c>
      <c r="S36" s="53">
        <f>'T&amp;M'!AD42*9</f>
        <v>0</v>
      </c>
      <c r="T36" s="53">
        <f>'T&amp;M'!AE42*9</f>
        <v>0</v>
      </c>
      <c r="U36" s="53">
        <f>'T&amp;M'!AF42*9</f>
        <v>0</v>
      </c>
      <c r="V36" s="53">
        <f>'T&amp;M'!AG42*9</f>
        <v>0</v>
      </c>
      <c r="W36" s="53">
        <f>'T&amp;M'!AH42*9</f>
        <v>0</v>
      </c>
      <c r="X36" s="53">
        <f>'T&amp;M'!AI42*9</f>
        <v>0</v>
      </c>
      <c r="Y36" s="53">
        <f>'T&amp;M'!AJ42*9</f>
        <v>0</v>
      </c>
      <c r="Z36" s="53">
        <f>'T&amp;M'!AK42*9</f>
        <v>0</v>
      </c>
      <c r="AA36" s="53">
        <f>'T&amp;M'!AL42*9</f>
        <v>0</v>
      </c>
      <c r="AB36" s="53">
        <f>'T&amp;M'!AM42*9</f>
        <v>0</v>
      </c>
      <c r="AC36" s="53">
        <f>'T&amp;M'!AN42*9</f>
        <v>0</v>
      </c>
      <c r="AD36" s="53">
        <f>'T&amp;M'!AO42*9</f>
        <v>0</v>
      </c>
      <c r="AE36" s="53">
        <f>'T&amp;M'!AP42*9</f>
        <v>0</v>
      </c>
      <c r="AF36" s="53">
        <f>'T&amp;M'!AQ42*9</f>
        <v>0</v>
      </c>
      <c r="AG36" s="53">
        <f>'T&amp;M'!AR42*9</f>
        <v>0</v>
      </c>
      <c r="AH36" s="53">
        <f>'T&amp;M'!AS42*9</f>
        <v>0</v>
      </c>
      <c r="AI36" s="53">
        <f>'T&amp;M'!AT42*9</f>
        <v>0</v>
      </c>
      <c r="AJ36" s="53">
        <f>'T&amp;M'!AU42*9</f>
        <v>0</v>
      </c>
      <c r="AK36" s="53">
        <f>'T&amp;M'!AV42*9</f>
        <v>0</v>
      </c>
      <c r="AL36" s="53">
        <f>'T&amp;M'!AW42*9</f>
        <v>0</v>
      </c>
      <c r="AM36" s="53">
        <f>'T&amp;M'!AX42*9</f>
        <v>0</v>
      </c>
      <c r="AN36" s="53">
        <f>'T&amp;M'!AY42*9</f>
        <v>0</v>
      </c>
      <c r="AO36" s="53">
        <f>'T&amp;M'!AZ42*9</f>
        <v>0</v>
      </c>
      <c r="AP36" s="53">
        <f>'T&amp;M'!BA42*9</f>
        <v>0</v>
      </c>
      <c r="AQ36" s="53">
        <f>'T&amp;M'!BB42*9</f>
        <v>0</v>
      </c>
      <c r="AR36" s="53">
        <f>'T&amp;M'!BC42*9</f>
        <v>0</v>
      </c>
      <c r="AS36" s="53">
        <f>'T&amp;M'!BD42*9</f>
        <v>0</v>
      </c>
      <c r="AT36" s="53">
        <f>'T&amp;M'!BE42*9</f>
        <v>0</v>
      </c>
      <c r="AU36" s="53">
        <f>'T&amp;M'!BF42*9</f>
        <v>0</v>
      </c>
      <c r="AV36" s="53">
        <f>'T&amp;M'!BG42*9</f>
        <v>0</v>
      </c>
      <c r="AW36" s="53">
        <f>'T&amp;M'!BH42*9</f>
        <v>0</v>
      </c>
      <c r="AX36" s="53">
        <f>'T&amp;M'!BI42*9</f>
        <v>0</v>
      </c>
      <c r="AY36" s="53">
        <f>'T&amp;M'!BJ42*9</f>
        <v>0</v>
      </c>
      <c r="AZ36" s="53">
        <f>'T&amp;M'!BK42*9</f>
        <v>0</v>
      </c>
      <c r="BA36" s="53">
        <f>'T&amp;M'!BL42*9</f>
        <v>0</v>
      </c>
    </row>
    <row r="37" spans="1:53" ht="13" x14ac:dyDescent="0.45">
      <c r="A37" s="45">
        <f>'T&amp;M'!C43</f>
        <v>0</v>
      </c>
      <c r="B37" s="53">
        <f>'T&amp;M'!M43*9</f>
        <v>0</v>
      </c>
      <c r="C37" s="53">
        <f>'T&amp;M'!N43*9</f>
        <v>0</v>
      </c>
      <c r="D37" s="53">
        <f>'T&amp;M'!O43*9</f>
        <v>0</v>
      </c>
      <c r="E37" s="53">
        <f>'T&amp;M'!P43*9</f>
        <v>0</v>
      </c>
      <c r="F37" s="53">
        <f>'T&amp;M'!Q43*9</f>
        <v>0</v>
      </c>
      <c r="G37" s="53">
        <f>'T&amp;M'!R43*9</f>
        <v>0</v>
      </c>
      <c r="H37" s="53">
        <f>'T&amp;M'!S43*9</f>
        <v>0</v>
      </c>
      <c r="I37" s="53">
        <f>'T&amp;M'!T43*9</f>
        <v>0</v>
      </c>
      <c r="J37" s="53">
        <f>'T&amp;M'!U43*9</f>
        <v>0</v>
      </c>
      <c r="K37" s="53">
        <f>'T&amp;M'!V43*9</f>
        <v>0</v>
      </c>
      <c r="L37" s="53">
        <f>'T&amp;M'!W43*9</f>
        <v>0</v>
      </c>
      <c r="M37" s="53">
        <f>'T&amp;M'!X43*9</f>
        <v>0</v>
      </c>
      <c r="N37" s="53">
        <f>'T&amp;M'!Y43*9</f>
        <v>0</v>
      </c>
      <c r="O37" s="53">
        <f>'T&amp;M'!Z43*9</f>
        <v>0</v>
      </c>
      <c r="P37" s="53">
        <f>'T&amp;M'!AA43*9</f>
        <v>0</v>
      </c>
      <c r="Q37" s="53">
        <f>'T&amp;M'!AB43*9</f>
        <v>0</v>
      </c>
      <c r="R37" s="53">
        <f>'T&amp;M'!AC43*9</f>
        <v>0</v>
      </c>
      <c r="S37" s="53">
        <f>'T&amp;M'!AD43*9</f>
        <v>0</v>
      </c>
      <c r="T37" s="53">
        <f>'T&amp;M'!AE43*9</f>
        <v>0</v>
      </c>
      <c r="U37" s="53">
        <f>'T&amp;M'!AF43*9</f>
        <v>0</v>
      </c>
      <c r="V37" s="53">
        <f>'T&amp;M'!AG43*9</f>
        <v>0</v>
      </c>
      <c r="W37" s="53">
        <f>'T&amp;M'!AH43*9</f>
        <v>0</v>
      </c>
      <c r="X37" s="53">
        <f>'T&amp;M'!AI43*9</f>
        <v>0</v>
      </c>
      <c r="Y37" s="53">
        <f>'T&amp;M'!AJ43*9</f>
        <v>0</v>
      </c>
      <c r="Z37" s="53">
        <f>'T&amp;M'!AK43*9</f>
        <v>0</v>
      </c>
      <c r="AA37" s="53">
        <f>'T&amp;M'!AL43*9</f>
        <v>0</v>
      </c>
      <c r="AB37" s="53">
        <f>'T&amp;M'!AM43*9</f>
        <v>0</v>
      </c>
      <c r="AC37" s="53">
        <f>'T&amp;M'!AN43*9</f>
        <v>0</v>
      </c>
      <c r="AD37" s="53">
        <f>'T&amp;M'!AO43*9</f>
        <v>0</v>
      </c>
      <c r="AE37" s="53">
        <f>'T&amp;M'!AP43*9</f>
        <v>0</v>
      </c>
      <c r="AF37" s="53">
        <f>'T&amp;M'!AQ43*9</f>
        <v>0</v>
      </c>
      <c r="AG37" s="53">
        <f>'T&amp;M'!AR43*9</f>
        <v>0</v>
      </c>
      <c r="AH37" s="53">
        <f>'T&amp;M'!AS43*9</f>
        <v>0</v>
      </c>
      <c r="AI37" s="53">
        <f>'T&amp;M'!AT43*9</f>
        <v>0</v>
      </c>
      <c r="AJ37" s="53">
        <f>'T&amp;M'!AU43*9</f>
        <v>0</v>
      </c>
      <c r="AK37" s="53">
        <f>'T&amp;M'!AV43*9</f>
        <v>0</v>
      </c>
      <c r="AL37" s="53">
        <f>'T&amp;M'!AW43*9</f>
        <v>0</v>
      </c>
      <c r="AM37" s="53">
        <f>'T&amp;M'!AX43*9</f>
        <v>0</v>
      </c>
      <c r="AN37" s="53">
        <f>'T&amp;M'!AY43*9</f>
        <v>0</v>
      </c>
      <c r="AO37" s="53">
        <f>'T&amp;M'!AZ43*9</f>
        <v>0</v>
      </c>
      <c r="AP37" s="53">
        <f>'T&amp;M'!BA43*9</f>
        <v>0</v>
      </c>
      <c r="AQ37" s="53">
        <f>'T&amp;M'!BB43*9</f>
        <v>0</v>
      </c>
      <c r="AR37" s="53">
        <f>'T&amp;M'!BC43*9</f>
        <v>0</v>
      </c>
      <c r="AS37" s="53">
        <f>'T&amp;M'!BD43*9</f>
        <v>0</v>
      </c>
      <c r="AT37" s="53">
        <f>'T&amp;M'!BE43*9</f>
        <v>0</v>
      </c>
      <c r="AU37" s="53">
        <f>'T&amp;M'!BF43*9</f>
        <v>0</v>
      </c>
      <c r="AV37" s="53">
        <f>'T&amp;M'!BG43*9</f>
        <v>0</v>
      </c>
      <c r="AW37" s="53">
        <f>'T&amp;M'!BH43*9</f>
        <v>0</v>
      </c>
      <c r="AX37" s="53">
        <f>'T&amp;M'!BI43*9</f>
        <v>0</v>
      </c>
      <c r="AY37" s="53">
        <f>'T&amp;M'!BJ43*9</f>
        <v>0</v>
      </c>
      <c r="AZ37" s="53">
        <f>'T&amp;M'!BK43*9</f>
        <v>0</v>
      </c>
      <c r="BA37" s="53">
        <f>'T&amp;M'!BL43*9</f>
        <v>0</v>
      </c>
    </row>
    <row r="38" spans="1:53" ht="13" x14ac:dyDescent="0.45">
      <c r="A38" s="45">
        <f>'T&amp;M'!C44</f>
        <v>0</v>
      </c>
      <c r="B38" s="53">
        <f>'T&amp;M'!M44*9</f>
        <v>0</v>
      </c>
      <c r="C38" s="53">
        <f>'T&amp;M'!N44*9</f>
        <v>0</v>
      </c>
      <c r="D38" s="53">
        <f>'T&amp;M'!O44*9</f>
        <v>0</v>
      </c>
      <c r="E38" s="53">
        <f>'T&amp;M'!P44*9</f>
        <v>0</v>
      </c>
      <c r="F38" s="53">
        <f>'T&amp;M'!Q44*9</f>
        <v>0</v>
      </c>
      <c r="G38" s="53">
        <f>'T&amp;M'!R44*9</f>
        <v>0</v>
      </c>
      <c r="H38" s="53">
        <f>'T&amp;M'!S44*9</f>
        <v>0</v>
      </c>
      <c r="I38" s="53">
        <f>'T&amp;M'!T44*9</f>
        <v>0</v>
      </c>
      <c r="J38" s="53">
        <f>'T&amp;M'!U44*9</f>
        <v>0</v>
      </c>
      <c r="K38" s="53">
        <f>'T&amp;M'!V44*9</f>
        <v>0</v>
      </c>
      <c r="L38" s="53">
        <f>'T&amp;M'!W44*9</f>
        <v>0</v>
      </c>
      <c r="M38" s="53">
        <f>'T&amp;M'!X44*9</f>
        <v>0</v>
      </c>
      <c r="N38" s="53">
        <f>'T&amp;M'!Y44*9</f>
        <v>0</v>
      </c>
      <c r="O38" s="53">
        <f>'T&amp;M'!Z44*9</f>
        <v>0</v>
      </c>
      <c r="P38" s="53">
        <f>'T&amp;M'!AA44*9</f>
        <v>0</v>
      </c>
      <c r="Q38" s="53">
        <f>'T&amp;M'!AB44*9</f>
        <v>0</v>
      </c>
      <c r="R38" s="53">
        <f>'T&amp;M'!AC44*9</f>
        <v>0</v>
      </c>
      <c r="S38" s="53">
        <f>'T&amp;M'!AD44*9</f>
        <v>0</v>
      </c>
      <c r="T38" s="53">
        <f>'T&amp;M'!AE44*9</f>
        <v>0</v>
      </c>
      <c r="U38" s="53">
        <f>'T&amp;M'!AF44*9</f>
        <v>0</v>
      </c>
      <c r="V38" s="53">
        <f>'T&amp;M'!AG44*9</f>
        <v>0</v>
      </c>
      <c r="W38" s="53">
        <f>'T&amp;M'!AH44*9</f>
        <v>0</v>
      </c>
      <c r="X38" s="53">
        <f>'T&amp;M'!AI44*9</f>
        <v>0</v>
      </c>
      <c r="Y38" s="53">
        <f>'T&amp;M'!AJ44*9</f>
        <v>0</v>
      </c>
      <c r="Z38" s="53">
        <f>'T&amp;M'!AK44*9</f>
        <v>0</v>
      </c>
      <c r="AA38" s="53">
        <f>'T&amp;M'!AL44*9</f>
        <v>0</v>
      </c>
      <c r="AB38" s="53">
        <f>'T&amp;M'!AM44*9</f>
        <v>0</v>
      </c>
      <c r="AC38" s="53">
        <f>'T&amp;M'!AN44*9</f>
        <v>0</v>
      </c>
      <c r="AD38" s="53">
        <f>'T&amp;M'!AO44*9</f>
        <v>0</v>
      </c>
      <c r="AE38" s="53">
        <f>'T&amp;M'!AP44*9</f>
        <v>0</v>
      </c>
      <c r="AF38" s="53">
        <f>'T&amp;M'!AQ44*9</f>
        <v>0</v>
      </c>
      <c r="AG38" s="53">
        <f>'T&amp;M'!AR44*9</f>
        <v>0</v>
      </c>
      <c r="AH38" s="53">
        <f>'T&amp;M'!AS44*9</f>
        <v>0</v>
      </c>
      <c r="AI38" s="53">
        <f>'T&amp;M'!AT44*9</f>
        <v>0</v>
      </c>
      <c r="AJ38" s="53">
        <f>'T&amp;M'!AU44*9</f>
        <v>0</v>
      </c>
      <c r="AK38" s="53">
        <f>'T&amp;M'!AV44*9</f>
        <v>0</v>
      </c>
      <c r="AL38" s="53">
        <f>'T&amp;M'!AW44*9</f>
        <v>0</v>
      </c>
      <c r="AM38" s="53">
        <f>'T&amp;M'!AX44*9</f>
        <v>0</v>
      </c>
      <c r="AN38" s="53">
        <f>'T&amp;M'!AY44*9</f>
        <v>0</v>
      </c>
      <c r="AO38" s="53">
        <f>'T&amp;M'!AZ44*9</f>
        <v>0</v>
      </c>
      <c r="AP38" s="53">
        <f>'T&amp;M'!BA44*9</f>
        <v>0</v>
      </c>
      <c r="AQ38" s="53">
        <f>'T&amp;M'!BB44*9</f>
        <v>0</v>
      </c>
      <c r="AR38" s="53">
        <f>'T&amp;M'!BC44*9</f>
        <v>0</v>
      </c>
      <c r="AS38" s="53">
        <f>'T&amp;M'!BD44*9</f>
        <v>0</v>
      </c>
      <c r="AT38" s="53">
        <f>'T&amp;M'!BE44*9</f>
        <v>0</v>
      </c>
      <c r="AU38" s="53">
        <f>'T&amp;M'!BF44*9</f>
        <v>0</v>
      </c>
      <c r="AV38" s="53">
        <f>'T&amp;M'!BG44*9</f>
        <v>0</v>
      </c>
      <c r="AW38" s="53">
        <f>'T&amp;M'!BH44*9</f>
        <v>0</v>
      </c>
      <c r="AX38" s="53">
        <f>'T&amp;M'!BI44*9</f>
        <v>0</v>
      </c>
      <c r="AY38" s="53">
        <f>'T&amp;M'!BJ44*9</f>
        <v>0</v>
      </c>
      <c r="AZ38" s="53">
        <f>'T&amp;M'!BK44*9</f>
        <v>0</v>
      </c>
      <c r="BA38" s="53">
        <f>'T&amp;M'!BL44*9</f>
        <v>0</v>
      </c>
    </row>
    <row r="39" spans="1:53" ht="13" x14ac:dyDescent="0.45">
      <c r="A39" s="45">
        <f>'T&amp;M'!C46</f>
        <v>0</v>
      </c>
      <c r="B39" s="53">
        <f>'T&amp;M'!M45*9</f>
        <v>0</v>
      </c>
      <c r="C39" s="53">
        <f>'T&amp;M'!N45*9</f>
        <v>0</v>
      </c>
      <c r="D39" s="53">
        <f>'T&amp;M'!O45*9</f>
        <v>0</v>
      </c>
      <c r="E39" s="53">
        <f>'T&amp;M'!P45*9</f>
        <v>0</v>
      </c>
      <c r="F39" s="53">
        <f>'T&amp;M'!Q45*9</f>
        <v>0</v>
      </c>
      <c r="G39" s="53">
        <f>'T&amp;M'!R45*9</f>
        <v>0</v>
      </c>
      <c r="H39" s="53">
        <f>'T&amp;M'!S45*9</f>
        <v>0</v>
      </c>
      <c r="I39" s="53">
        <f>'T&amp;M'!T45*9</f>
        <v>0</v>
      </c>
      <c r="J39" s="53">
        <f>'T&amp;M'!U45*9</f>
        <v>0</v>
      </c>
      <c r="K39" s="53">
        <f>'T&amp;M'!V45*9</f>
        <v>0</v>
      </c>
      <c r="L39" s="53">
        <f>'T&amp;M'!W45*9</f>
        <v>0</v>
      </c>
      <c r="M39" s="53">
        <f>'T&amp;M'!X45*9</f>
        <v>0</v>
      </c>
      <c r="N39" s="53">
        <f>'T&amp;M'!Y45*9</f>
        <v>0</v>
      </c>
      <c r="O39" s="53">
        <f>'T&amp;M'!Z45*9</f>
        <v>0</v>
      </c>
      <c r="P39" s="53">
        <f>'T&amp;M'!AA45*9</f>
        <v>0</v>
      </c>
      <c r="Q39" s="53">
        <f>'T&amp;M'!AB45*9</f>
        <v>0</v>
      </c>
      <c r="R39" s="53">
        <f>'T&amp;M'!AC45*9</f>
        <v>0</v>
      </c>
      <c r="S39" s="53">
        <f>'T&amp;M'!AD45*9</f>
        <v>0</v>
      </c>
      <c r="T39" s="53">
        <f>'T&amp;M'!AE45*9</f>
        <v>0</v>
      </c>
      <c r="U39" s="53">
        <f>'T&amp;M'!AF45*9</f>
        <v>0</v>
      </c>
      <c r="V39" s="53">
        <f>'T&amp;M'!AG45*9</f>
        <v>0</v>
      </c>
      <c r="W39" s="53">
        <f>'T&amp;M'!AH45*9</f>
        <v>0</v>
      </c>
      <c r="X39" s="53">
        <f>'T&amp;M'!AI45*9</f>
        <v>0</v>
      </c>
      <c r="Y39" s="53">
        <f>'T&amp;M'!AJ45*9</f>
        <v>0</v>
      </c>
      <c r="Z39" s="53">
        <f>'T&amp;M'!AK45*9</f>
        <v>0</v>
      </c>
      <c r="AA39" s="53">
        <f>'T&amp;M'!AL45*9</f>
        <v>0</v>
      </c>
      <c r="AB39" s="53">
        <f>'T&amp;M'!AM45*9</f>
        <v>0</v>
      </c>
      <c r="AC39" s="53">
        <f>'T&amp;M'!AN45*9</f>
        <v>0</v>
      </c>
      <c r="AD39" s="53">
        <f>'T&amp;M'!AO45*9</f>
        <v>0</v>
      </c>
      <c r="AE39" s="53">
        <f>'T&amp;M'!AP45*9</f>
        <v>0</v>
      </c>
      <c r="AF39" s="53">
        <f>'T&amp;M'!AQ45*9</f>
        <v>0</v>
      </c>
      <c r="AG39" s="53">
        <f>'T&amp;M'!AR45*9</f>
        <v>0</v>
      </c>
      <c r="AH39" s="53">
        <f>'T&amp;M'!AS45*9</f>
        <v>0</v>
      </c>
      <c r="AI39" s="53">
        <f>'T&amp;M'!AT45*9</f>
        <v>0</v>
      </c>
      <c r="AJ39" s="53">
        <f>'T&amp;M'!AU45*9</f>
        <v>0</v>
      </c>
      <c r="AK39" s="53">
        <f>'T&amp;M'!AV45*9</f>
        <v>0</v>
      </c>
      <c r="AL39" s="53">
        <f>'T&amp;M'!AW45*9</f>
        <v>0</v>
      </c>
      <c r="AM39" s="53">
        <f>'T&amp;M'!AX45*9</f>
        <v>0</v>
      </c>
      <c r="AN39" s="53">
        <f>'T&amp;M'!AY45*9</f>
        <v>0</v>
      </c>
      <c r="AO39" s="53">
        <f>'T&amp;M'!AZ45*9</f>
        <v>0</v>
      </c>
      <c r="AP39" s="53">
        <f>'T&amp;M'!BA45*9</f>
        <v>0</v>
      </c>
      <c r="AQ39" s="53">
        <f>'T&amp;M'!BB45*9</f>
        <v>0</v>
      </c>
      <c r="AR39" s="53">
        <f>'T&amp;M'!BC45*9</f>
        <v>0</v>
      </c>
      <c r="AS39" s="53">
        <f>'T&amp;M'!BD45*9</f>
        <v>0</v>
      </c>
      <c r="AT39" s="53">
        <f>'T&amp;M'!BE45*9</f>
        <v>0</v>
      </c>
      <c r="AU39" s="53">
        <f>'T&amp;M'!BF45*9</f>
        <v>0</v>
      </c>
      <c r="AV39" s="53">
        <f>'T&amp;M'!BG45*9</f>
        <v>0</v>
      </c>
      <c r="AW39" s="53">
        <f>'T&amp;M'!BH45*9</f>
        <v>0</v>
      </c>
      <c r="AX39" s="53">
        <f>'T&amp;M'!BI45*9</f>
        <v>0</v>
      </c>
      <c r="AY39" s="53">
        <f>'T&amp;M'!BJ45*9</f>
        <v>0</v>
      </c>
      <c r="AZ39" s="53">
        <f>'T&amp;M'!BK45*9</f>
        <v>0</v>
      </c>
      <c r="BA39" s="53">
        <f>'T&amp;M'!BL45*9</f>
        <v>0</v>
      </c>
    </row>
    <row r="40" spans="1:53" ht="13" x14ac:dyDescent="0.45">
      <c r="A40" s="45">
        <f>'T&amp;M'!C47</f>
        <v>0</v>
      </c>
      <c r="B40" s="53">
        <f>'T&amp;M'!M46*9</f>
        <v>0</v>
      </c>
      <c r="C40" s="53">
        <f>'T&amp;M'!N46*9</f>
        <v>0</v>
      </c>
      <c r="D40" s="53">
        <f>'T&amp;M'!O46*9</f>
        <v>0</v>
      </c>
      <c r="E40" s="53">
        <f>'T&amp;M'!P46*9</f>
        <v>0</v>
      </c>
      <c r="F40" s="53">
        <f>'T&amp;M'!Q46*9</f>
        <v>0</v>
      </c>
      <c r="G40" s="53">
        <f>'T&amp;M'!R46*9</f>
        <v>0</v>
      </c>
      <c r="H40" s="53">
        <f>'T&amp;M'!S46*9</f>
        <v>0</v>
      </c>
      <c r="I40" s="53">
        <f>'T&amp;M'!T46*9</f>
        <v>0</v>
      </c>
      <c r="J40" s="53">
        <f>'T&amp;M'!U46*9</f>
        <v>0</v>
      </c>
      <c r="K40" s="53">
        <f>'T&amp;M'!V46*9</f>
        <v>0</v>
      </c>
      <c r="L40" s="53">
        <f>'T&amp;M'!W46*9</f>
        <v>0</v>
      </c>
      <c r="M40" s="53">
        <f>'T&amp;M'!X46*9</f>
        <v>0</v>
      </c>
      <c r="N40" s="53">
        <f>'T&amp;M'!Y46*9</f>
        <v>0</v>
      </c>
      <c r="O40" s="53">
        <f>'T&amp;M'!Z46*9</f>
        <v>0</v>
      </c>
      <c r="P40" s="53">
        <f>'T&amp;M'!AA46*9</f>
        <v>0</v>
      </c>
      <c r="Q40" s="53">
        <f>'T&amp;M'!AB46*9</f>
        <v>0</v>
      </c>
      <c r="R40" s="53">
        <f>'T&amp;M'!AC46*9</f>
        <v>0</v>
      </c>
      <c r="S40" s="53">
        <f>'T&amp;M'!AD46*9</f>
        <v>0</v>
      </c>
      <c r="T40" s="53">
        <f>'T&amp;M'!AE46*9</f>
        <v>0</v>
      </c>
      <c r="U40" s="53">
        <f>'T&amp;M'!AF46*9</f>
        <v>0</v>
      </c>
      <c r="V40" s="53">
        <f>'T&amp;M'!AG46*9</f>
        <v>0</v>
      </c>
      <c r="W40" s="53">
        <f>'T&amp;M'!AH46*9</f>
        <v>0</v>
      </c>
      <c r="X40" s="53">
        <f>'T&amp;M'!AI46*9</f>
        <v>0</v>
      </c>
      <c r="Y40" s="53">
        <f>'T&amp;M'!AJ46*9</f>
        <v>0</v>
      </c>
      <c r="Z40" s="53">
        <f>'T&amp;M'!AK46*9</f>
        <v>0</v>
      </c>
      <c r="AA40" s="53">
        <f>'T&amp;M'!AL46*9</f>
        <v>0</v>
      </c>
      <c r="AB40" s="53">
        <f>'T&amp;M'!AM46*9</f>
        <v>0</v>
      </c>
      <c r="AC40" s="53">
        <f>'T&amp;M'!AN46*9</f>
        <v>0</v>
      </c>
      <c r="AD40" s="53">
        <f>'T&amp;M'!AO46*9</f>
        <v>0</v>
      </c>
      <c r="AE40" s="53">
        <f>'T&amp;M'!AP46*9</f>
        <v>0</v>
      </c>
      <c r="AF40" s="53">
        <f>'T&amp;M'!AQ46*9</f>
        <v>0</v>
      </c>
      <c r="AG40" s="53">
        <f>'T&amp;M'!AR46*9</f>
        <v>0</v>
      </c>
      <c r="AH40" s="53">
        <f>'T&amp;M'!AS46*9</f>
        <v>0</v>
      </c>
      <c r="AI40" s="53">
        <f>'T&amp;M'!AT46*9</f>
        <v>0</v>
      </c>
      <c r="AJ40" s="53">
        <f>'T&amp;M'!AU46*9</f>
        <v>0</v>
      </c>
      <c r="AK40" s="53">
        <f>'T&amp;M'!AV46*9</f>
        <v>0</v>
      </c>
      <c r="AL40" s="53">
        <f>'T&amp;M'!AW46*9</f>
        <v>0</v>
      </c>
      <c r="AM40" s="53">
        <f>'T&amp;M'!AX46*9</f>
        <v>0</v>
      </c>
      <c r="AN40" s="53">
        <f>'T&amp;M'!AY46*9</f>
        <v>0</v>
      </c>
      <c r="AO40" s="53">
        <f>'T&amp;M'!AZ46*9</f>
        <v>0</v>
      </c>
      <c r="AP40" s="53">
        <f>'T&amp;M'!BA46*9</f>
        <v>0</v>
      </c>
      <c r="AQ40" s="53">
        <f>'T&amp;M'!BB46*9</f>
        <v>0</v>
      </c>
      <c r="AR40" s="53">
        <f>'T&amp;M'!BC46*9</f>
        <v>0</v>
      </c>
      <c r="AS40" s="53">
        <f>'T&amp;M'!BD46*9</f>
        <v>0</v>
      </c>
      <c r="AT40" s="53">
        <f>'T&amp;M'!BE46*9</f>
        <v>0</v>
      </c>
      <c r="AU40" s="53">
        <f>'T&amp;M'!BF46*9</f>
        <v>0</v>
      </c>
      <c r="AV40" s="53">
        <f>'T&amp;M'!BG46*9</f>
        <v>0</v>
      </c>
      <c r="AW40" s="53">
        <f>'T&amp;M'!BH46*9</f>
        <v>0</v>
      </c>
      <c r="AX40" s="53">
        <f>'T&amp;M'!BI46*9</f>
        <v>0</v>
      </c>
      <c r="AY40" s="53">
        <f>'T&amp;M'!BJ46*9</f>
        <v>0</v>
      </c>
      <c r="AZ40" s="53">
        <f>'T&amp;M'!BK46*9</f>
        <v>0</v>
      </c>
      <c r="BA40" s="53">
        <f>'T&amp;M'!BL46*9</f>
        <v>0</v>
      </c>
    </row>
    <row r="41" spans="1:53" ht="13.35" thickBot="1" x14ac:dyDescent="0.5">
      <c r="A41" s="45">
        <f>'T&amp;M'!C48</f>
        <v>0</v>
      </c>
      <c r="B41" s="53">
        <f>'T&amp;M'!M47*9</f>
        <v>0</v>
      </c>
      <c r="C41" s="53">
        <f>'T&amp;M'!N47*9</f>
        <v>0</v>
      </c>
      <c r="D41" s="53">
        <f>'T&amp;M'!O47*9</f>
        <v>0</v>
      </c>
      <c r="E41" s="53">
        <f>'T&amp;M'!P47*9</f>
        <v>0</v>
      </c>
      <c r="F41" s="53">
        <f>'T&amp;M'!Q47*9</f>
        <v>0</v>
      </c>
      <c r="G41" s="53">
        <f>'T&amp;M'!R47*9</f>
        <v>0</v>
      </c>
      <c r="H41" s="53">
        <f>'T&amp;M'!S47*9</f>
        <v>0</v>
      </c>
      <c r="I41" s="53">
        <f>'T&amp;M'!T47*9</f>
        <v>0</v>
      </c>
      <c r="J41" s="53">
        <f>'T&amp;M'!U47*9</f>
        <v>0</v>
      </c>
      <c r="K41" s="53">
        <f>'T&amp;M'!V47*9</f>
        <v>0</v>
      </c>
      <c r="L41" s="53">
        <f>'T&amp;M'!W47*9</f>
        <v>0</v>
      </c>
      <c r="M41" s="53">
        <f>'T&amp;M'!X47*9</f>
        <v>0</v>
      </c>
      <c r="N41" s="53">
        <f>'T&amp;M'!Y47*9</f>
        <v>0</v>
      </c>
      <c r="O41" s="53">
        <f>'T&amp;M'!Z47*9</f>
        <v>0</v>
      </c>
      <c r="P41" s="53">
        <f>'T&amp;M'!AA47*9</f>
        <v>0</v>
      </c>
      <c r="Q41" s="53">
        <f>'T&amp;M'!AB47*9</f>
        <v>0</v>
      </c>
      <c r="R41" s="53">
        <f>'T&amp;M'!AC47*9</f>
        <v>0</v>
      </c>
      <c r="S41" s="53">
        <f>'T&amp;M'!AD47*9</f>
        <v>0</v>
      </c>
      <c r="T41" s="53">
        <f>'T&amp;M'!AE47*9</f>
        <v>0</v>
      </c>
      <c r="U41" s="53">
        <f>'T&amp;M'!AF47*9</f>
        <v>0</v>
      </c>
      <c r="V41" s="53">
        <f>'T&amp;M'!AG47*9</f>
        <v>0</v>
      </c>
      <c r="W41" s="53">
        <f>'T&amp;M'!AH47*9</f>
        <v>0</v>
      </c>
      <c r="X41" s="53">
        <f>'T&amp;M'!AI47*9</f>
        <v>0</v>
      </c>
      <c r="Y41" s="53">
        <f>'T&amp;M'!AJ47*9</f>
        <v>0</v>
      </c>
      <c r="Z41" s="53">
        <f>'T&amp;M'!AK47*9</f>
        <v>0</v>
      </c>
      <c r="AA41" s="53">
        <f>'T&amp;M'!AL47*9</f>
        <v>0</v>
      </c>
      <c r="AB41" s="53">
        <f>'T&amp;M'!AM47*9</f>
        <v>0</v>
      </c>
      <c r="AC41" s="53">
        <f>'T&amp;M'!AN47*9</f>
        <v>0</v>
      </c>
      <c r="AD41" s="53">
        <f>'T&amp;M'!AO47*9</f>
        <v>0</v>
      </c>
      <c r="AE41" s="53">
        <f>'T&amp;M'!AP47*9</f>
        <v>0</v>
      </c>
      <c r="AF41" s="53">
        <f>'T&amp;M'!AQ47*9</f>
        <v>0</v>
      </c>
      <c r="AG41" s="53">
        <f>'T&amp;M'!AR47*9</f>
        <v>0</v>
      </c>
      <c r="AH41" s="53">
        <f>'T&amp;M'!AS47*9</f>
        <v>0</v>
      </c>
      <c r="AI41" s="53">
        <f>'T&amp;M'!AT47*9</f>
        <v>0</v>
      </c>
      <c r="AJ41" s="53">
        <f>'T&amp;M'!AU47*9</f>
        <v>0</v>
      </c>
      <c r="AK41" s="53">
        <f>'T&amp;M'!AV47*9</f>
        <v>0</v>
      </c>
      <c r="AL41" s="53">
        <f>'T&amp;M'!AW47*9</f>
        <v>0</v>
      </c>
      <c r="AM41" s="53">
        <f>'T&amp;M'!AX47*9</f>
        <v>0</v>
      </c>
      <c r="AN41" s="53">
        <f>'T&amp;M'!AY47*9</f>
        <v>0</v>
      </c>
      <c r="AO41" s="53">
        <f>'T&amp;M'!AZ47*9</f>
        <v>0</v>
      </c>
      <c r="AP41" s="53">
        <f>'T&amp;M'!BA47*9</f>
        <v>0</v>
      </c>
      <c r="AQ41" s="53">
        <f>'T&amp;M'!BB47*9</f>
        <v>0</v>
      </c>
      <c r="AR41" s="53">
        <f>'T&amp;M'!BC47*9</f>
        <v>0</v>
      </c>
      <c r="AS41" s="53">
        <f>'T&amp;M'!BD47*9</f>
        <v>0</v>
      </c>
      <c r="AT41" s="53">
        <f>'T&amp;M'!BE47*9</f>
        <v>0</v>
      </c>
      <c r="AU41" s="53">
        <f>'T&amp;M'!BF47*9</f>
        <v>0</v>
      </c>
      <c r="AV41" s="53">
        <f>'T&amp;M'!BG47*9</f>
        <v>0</v>
      </c>
      <c r="AW41" s="53">
        <f>'T&amp;M'!BH47*9</f>
        <v>0</v>
      </c>
      <c r="AX41" s="53">
        <f>'T&amp;M'!BI47*9</f>
        <v>0</v>
      </c>
      <c r="AY41" s="53">
        <f>'T&amp;M'!BJ47*9</f>
        <v>0</v>
      </c>
      <c r="AZ41" s="53">
        <f>'T&amp;M'!BK47*9</f>
        <v>0</v>
      </c>
      <c r="BA41" s="53">
        <f>'T&amp;M'!BL47*9</f>
        <v>0</v>
      </c>
    </row>
    <row r="42" spans="1:53" s="44" customFormat="1" ht="26" x14ac:dyDescent="0.4">
      <c r="A42" s="42" t="str">
        <f>'T&amp;M'!C49</f>
        <v>Contractor  Name</v>
      </c>
      <c r="B42" s="42" t="s">
        <v>2</v>
      </c>
      <c r="C42" s="42" t="s">
        <v>3</v>
      </c>
      <c r="D42" s="42" t="s">
        <v>4</v>
      </c>
      <c r="E42" s="42" t="s">
        <v>5</v>
      </c>
      <c r="F42" s="42" t="s">
        <v>6</v>
      </c>
      <c r="G42" s="42" t="s">
        <v>7</v>
      </c>
      <c r="H42" s="42" t="s">
        <v>8</v>
      </c>
      <c r="I42" s="42" t="s">
        <v>9</v>
      </c>
      <c r="J42" s="42" t="s">
        <v>10</v>
      </c>
      <c r="K42" s="42" t="s">
        <v>11</v>
      </c>
      <c r="L42" s="42" t="s">
        <v>12</v>
      </c>
      <c r="M42" s="42" t="s">
        <v>13</v>
      </c>
      <c r="N42" s="42" t="s">
        <v>14</v>
      </c>
      <c r="O42" s="42" t="s">
        <v>15</v>
      </c>
      <c r="P42" s="42" t="s">
        <v>16</v>
      </c>
      <c r="Q42" s="42" t="s">
        <v>17</v>
      </c>
      <c r="R42" s="42" t="s">
        <v>18</v>
      </c>
      <c r="S42" s="42" t="s">
        <v>19</v>
      </c>
      <c r="T42" s="42" t="s">
        <v>20</v>
      </c>
      <c r="U42" s="42" t="s">
        <v>21</v>
      </c>
      <c r="V42" s="42" t="s">
        <v>22</v>
      </c>
      <c r="W42" s="42" t="s">
        <v>23</v>
      </c>
      <c r="X42" s="42" t="s">
        <v>24</v>
      </c>
      <c r="Y42" s="42" t="s">
        <v>25</v>
      </c>
      <c r="Z42" s="42" t="s">
        <v>61</v>
      </c>
      <c r="AA42" s="42" t="s">
        <v>62</v>
      </c>
      <c r="AB42" s="42" t="s">
        <v>63</v>
      </c>
      <c r="AC42" s="42" t="s">
        <v>64</v>
      </c>
      <c r="AD42" s="42" t="s">
        <v>65</v>
      </c>
      <c r="AE42" s="42" t="s">
        <v>66</v>
      </c>
      <c r="AF42" s="42" t="s">
        <v>67</v>
      </c>
      <c r="AG42" s="42" t="s">
        <v>68</v>
      </c>
      <c r="AH42" s="42" t="s">
        <v>69</v>
      </c>
      <c r="AI42" s="42" t="s">
        <v>70</v>
      </c>
      <c r="AJ42" s="42" t="s">
        <v>71</v>
      </c>
      <c r="AK42" s="42" t="s">
        <v>72</v>
      </c>
      <c r="AL42" s="42" t="s">
        <v>73</v>
      </c>
      <c r="AM42" s="42" t="s">
        <v>74</v>
      </c>
      <c r="AN42" s="42" t="s">
        <v>75</v>
      </c>
      <c r="AO42" s="42" t="s">
        <v>76</v>
      </c>
      <c r="AP42" s="42" t="s">
        <v>77</v>
      </c>
      <c r="AQ42" s="42" t="s">
        <v>78</v>
      </c>
      <c r="AR42" s="42" t="s">
        <v>79</v>
      </c>
      <c r="AS42" s="42" t="s">
        <v>80</v>
      </c>
      <c r="AT42" s="42" t="s">
        <v>81</v>
      </c>
      <c r="AU42" s="42" t="s">
        <v>82</v>
      </c>
      <c r="AV42" s="42" t="s">
        <v>83</v>
      </c>
      <c r="AW42" s="42" t="s">
        <v>84</v>
      </c>
      <c r="AX42" s="42" t="s">
        <v>85</v>
      </c>
      <c r="AY42" s="42" t="s">
        <v>86</v>
      </c>
      <c r="AZ42" s="42" t="s">
        <v>87</v>
      </c>
      <c r="BA42" s="42" t="s">
        <v>88</v>
      </c>
    </row>
    <row r="43" spans="1:53" ht="13" x14ac:dyDescent="0.45">
      <c r="A43" s="45">
        <f>'T&amp;M'!C51</f>
        <v>0</v>
      </c>
      <c r="B43" s="18">
        <f>'T&amp;M'!M51</f>
        <v>0</v>
      </c>
      <c r="C43" s="18">
        <f>'T&amp;M'!N51</f>
        <v>0</v>
      </c>
      <c r="D43" s="18">
        <f>'T&amp;M'!O51</f>
        <v>0</v>
      </c>
      <c r="E43" s="18">
        <f>'T&amp;M'!P51</f>
        <v>0</v>
      </c>
      <c r="F43" s="18">
        <f>'T&amp;M'!Q51</f>
        <v>0</v>
      </c>
      <c r="G43" s="18">
        <f>'T&amp;M'!R51</f>
        <v>0</v>
      </c>
      <c r="H43" s="18">
        <f>'T&amp;M'!S51</f>
        <v>0</v>
      </c>
      <c r="I43" s="18">
        <f>'T&amp;M'!T51</f>
        <v>0</v>
      </c>
      <c r="J43" s="18">
        <f>'T&amp;M'!U51</f>
        <v>0</v>
      </c>
      <c r="K43" s="18">
        <f>'T&amp;M'!V51</f>
        <v>0</v>
      </c>
      <c r="L43" s="18">
        <f>'T&amp;M'!W51</f>
        <v>0</v>
      </c>
      <c r="M43" s="18">
        <f>'T&amp;M'!X51</f>
        <v>0</v>
      </c>
      <c r="N43" s="18">
        <f>'T&amp;M'!Y51</f>
        <v>0</v>
      </c>
      <c r="O43" s="18">
        <f>'T&amp;M'!Z51</f>
        <v>0</v>
      </c>
      <c r="P43" s="18">
        <f>'T&amp;M'!AA51</f>
        <v>0</v>
      </c>
      <c r="Q43" s="18">
        <f>'T&amp;M'!AB51</f>
        <v>0</v>
      </c>
      <c r="R43" s="18">
        <f>'T&amp;M'!AC51</f>
        <v>0</v>
      </c>
      <c r="S43" s="18">
        <f>'T&amp;M'!AD51</f>
        <v>0</v>
      </c>
      <c r="T43" s="18">
        <f>'T&amp;M'!AE51</f>
        <v>0</v>
      </c>
      <c r="U43" s="18">
        <f>'T&amp;M'!AF51</f>
        <v>0</v>
      </c>
      <c r="V43" s="18">
        <f>'T&amp;M'!AG51</f>
        <v>0</v>
      </c>
      <c r="W43" s="18">
        <f>'T&amp;M'!AH51</f>
        <v>0</v>
      </c>
      <c r="X43" s="18">
        <f>'T&amp;M'!AI51</f>
        <v>0</v>
      </c>
      <c r="Y43" s="18">
        <f>'T&amp;M'!AJ51</f>
        <v>0</v>
      </c>
      <c r="Z43" s="18">
        <f>'T&amp;M'!AK51</f>
        <v>0</v>
      </c>
      <c r="AA43" s="18">
        <f>'T&amp;M'!AL51</f>
        <v>0</v>
      </c>
      <c r="AB43" s="18">
        <f>'T&amp;M'!AM51</f>
        <v>0</v>
      </c>
      <c r="AC43" s="18">
        <f>'T&amp;M'!AN51</f>
        <v>0</v>
      </c>
      <c r="AD43" s="18">
        <f>'T&amp;M'!AO51</f>
        <v>0</v>
      </c>
      <c r="AE43" s="18">
        <f>'T&amp;M'!AP51</f>
        <v>0</v>
      </c>
      <c r="AF43" s="18">
        <f>'T&amp;M'!AQ51</f>
        <v>0</v>
      </c>
      <c r="AG43" s="18">
        <f>'T&amp;M'!AR51</f>
        <v>0</v>
      </c>
      <c r="AH43" s="18">
        <f>'T&amp;M'!AS51</f>
        <v>0</v>
      </c>
      <c r="AI43" s="18">
        <f>'T&amp;M'!AT51</f>
        <v>0</v>
      </c>
      <c r="AJ43" s="18">
        <f>'T&amp;M'!AU51</f>
        <v>0</v>
      </c>
      <c r="AK43" s="18">
        <f>'T&amp;M'!AV51</f>
        <v>0</v>
      </c>
      <c r="AL43" s="18">
        <f>'T&amp;M'!AW51</f>
        <v>0</v>
      </c>
      <c r="AM43" s="18">
        <f>'T&amp;M'!AX51</f>
        <v>0</v>
      </c>
      <c r="AN43" s="18">
        <f>'T&amp;M'!AY51</f>
        <v>0</v>
      </c>
      <c r="AO43" s="18">
        <f>'T&amp;M'!AZ51</f>
        <v>0</v>
      </c>
      <c r="AP43" s="18">
        <f>'T&amp;M'!BA51</f>
        <v>0</v>
      </c>
      <c r="AQ43" s="18">
        <f>'T&amp;M'!BB51</f>
        <v>0</v>
      </c>
      <c r="AR43" s="18">
        <f>'T&amp;M'!BC51</f>
        <v>0</v>
      </c>
      <c r="AS43" s="18">
        <f>'T&amp;M'!BD51</f>
        <v>0</v>
      </c>
      <c r="AT43" s="18">
        <f>'T&amp;M'!BE51</f>
        <v>0</v>
      </c>
      <c r="AU43" s="18">
        <f>'T&amp;M'!BF51</f>
        <v>0</v>
      </c>
      <c r="AV43" s="18">
        <f>'T&amp;M'!BG51</f>
        <v>0</v>
      </c>
      <c r="AW43" s="18">
        <f>'T&amp;M'!BH51</f>
        <v>0</v>
      </c>
      <c r="AX43" s="18">
        <f>'T&amp;M'!BI51</f>
        <v>0</v>
      </c>
      <c r="AY43" s="18">
        <f>'T&amp;M'!BJ51</f>
        <v>0</v>
      </c>
      <c r="AZ43" s="18">
        <f>'T&amp;M'!BK51</f>
        <v>0</v>
      </c>
      <c r="BA43" s="18">
        <f>'T&amp;M'!BL51</f>
        <v>0</v>
      </c>
    </row>
    <row r="44" spans="1:53" ht="13" x14ac:dyDescent="0.45">
      <c r="A44" s="45">
        <f>'T&amp;M'!C52</f>
        <v>0</v>
      </c>
      <c r="B44" s="18">
        <f>'T&amp;M'!M52</f>
        <v>0</v>
      </c>
      <c r="C44" s="18">
        <f>'T&amp;M'!N52</f>
        <v>0</v>
      </c>
      <c r="D44" s="18">
        <f>'T&amp;M'!O52</f>
        <v>0</v>
      </c>
      <c r="E44" s="18">
        <f>'T&amp;M'!P52</f>
        <v>0</v>
      </c>
      <c r="F44" s="18">
        <f>'T&amp;M'!Q52</f>
        <v>0</v>
      </c>
      <c r="G44" s="18">
        <f>'T&amp;M'!R52</f>
        <v>0</v>
      </c>
      <c r="H44" s="18">
        <f>'T&amp;M'!S52</f>
        <v>0</v>
      </c>
      <c r="I44" s="18">
        <f>'T&amp;M'!T52</f>
        <v>0</v>
      </c>
      <c r="J44" s="18">
        <f>'T&amp;M'!U52</f>
        <v>0</v>
      </c>
      <c r="K44" s="18">
        <f>'T&amp;M'!V52</f>
        <v>0</v>
      </c>
      <c r="L44" s="18">
        <f>'T&amp;M'!W52</f>
        <v>0</v>
      </c>
      <c r="M44" s="18">
        <f>'T&amp;M'!X52</f>
        <v>0</v>
      </c>
      <c r="N44" s="18">
        <f>'T&amp;M'!Y52</f>
        <v>0</v>
      </c>
      <c r="O44" s="18">
        <f>'T&amp;M'!Z52</f>
        <v>0</v>
      </c>
      <c r="P44" s="18">
        <f>'T&amp;M'!AA52</f>
        <v>0</v>
      </c>
      <c r="Q44" s="18">
        <f>'T&amp;M'!AB52</f>
        <v>0</v>
      </c>
      <c r="R44" s="18">
        <f>'T&amp;M'!AC52</f>
        <v>0</v>
      </c>
      <c r="S44" s="18">
        <f>'T&amp;M'!AD52</f>
        <v>0</v>
      </c>
      <c r="T44" s="18">
        <f>'T&amp;M'!AE52</f>
        <v>0</v>
      </c>
      <c r="U44" s="18">
        <f>'T&amp;M'!AF52</f>
        <v>0</v>
      </c>
      <c r="V44" s="18">
        <f>'T&amp;M'!AG52</f>
        <v>0</v>
      </c>
      <c r="W44" s="18">
        <f>'T&amp;M'!AH52</f>
        <v>0</v>
      </c>
      <c r="X44" s="18">
        <f>'T&amp;M'!AI52</f>
        <v>0</v>
      </c>
      <c r="Y44" s="18">
        <f>'T&amp;M'!AJ52</f>
        <v>0</v>
      </c>
      <c r="Z44" s="18">
        <f>'T&amp;M'!AK52</f>
        <v>0</v>
      </c>
      <c r="AA44" s="18">
        <f>'T&amp;M'!AL52</f>
        <v>0</v>
      </c>
      <c r="AB44" s="18">
        <f>'T&amp;M'!AM52</f>
        <v>0</v>
      </c>
      <c r="AC44" s="18">
        <f>'T&amp;M'!AN52</f>
        <v>0</v>
      </c>
      <c r="AD44" s="18">
        <f>'T&amp;M'!AO52</f>
        <v>0</v>
      </c>
      <c r="AE44" s="18">
        <f>'T&amp;M'!AP52</f>
        <v>0</v>
      </c>
      <c r="AF44" s="18">
        <f>'T&amp;M'!AQ52</f>
        <v>0</v>
      </c>
      <c r="AG44" s="18">
        <f>'T&amp;M'!AR52</f>
        <v>0</v>
      </c>
      <c r="AH44" s="18">
        <f>'T&amp;M'!AS52</f>
        <v>0</v>
      </c>
      <c r="AI44" s="18">
        <f>'T&amp;M'!AT52</f>
        <v>0</v>
      </c>
      <c r="AJ44" s="18">
        <f>'T&amp;M'!AU52</f>
        <v>0</v>
      </c>
      <c r="AK44" s="18">
        <f>'T&amp;M'!AV52</f>
        <v>0</v>
      </c>
      <c r="AL44" s="18">
        <f>'T&amp;M'!AW52</f>
        <v>0</v>
      </c>
      <c r="AM44" s="18">
        <f>'T&amp;M'!AX52</f>
        <v>0</v>
      </c>
      <c r="AN44" s="18">
        <f>'T&amp;M'!AY52</f>
        <v>0</v>
      </c>
      <c r="AO44" s="18">
        <f>'T&amp;M'!AZ52</f>
        <v>0</v>
      </c>
      <c r="AP44" s="18">
        <f>'T&amp;M'!BA52</f>
        <v>0</v>
      </c>
      <c r="AQ44" s="18">
        <f>'T&amp;M'!BB52</f>
        <v>0</v>
      </c>
      <c r="AR44" s="18">
        <f>'T&amp;M'!BC52</f>
        <v>0</v>
      </c>
      <c r="AS44" s="18">
        <f>'T&amp;M'!BD52</f>
        <v>0</v>
      </c>
      <c r="AT44" s="18">
        <f>'T&amp;M'!BE52</f>
        <v>0</v>
      </c>
      <c r="AU44" s="18">
        <f>'T&amp;M'!BF52</f>
        <v>0</v>
      </c>
      <c r="AV44" s="18">
        <f>'T&amp;M'!BG52</f>
        <v>0</v>
      </c>
      <c r="AW44" s="18">
        <f>'T&amp;M'!BH52</f>
        <v>0</v>
      </c>
      <c r="AX44" s="18">
        <f>'T&amp;M'!BI52</f>
        <v>0</v>
      </c>
      <c r="AY44" s="18">
        <f>'T&amp;M'!BJ52</f>
        <v>0</v>
      </c>
      <c r="AZ44" s="18">
        <f>'T&amp;M'!BK52</f>
        <v>0</v>
      </c>
      <c r="BA44" s="18">
        <f>'T&amp;M'!BL52</f>
        <v>0</v>
      </c>
    </row>
    <row r="45" spans="1:53" ht="13" x14ac:dyDescent="0.45">
      <c r="A45" s="45">
        <f>'T&amp;M'!C53</f>
        <v>0</v>
      </c>
      <c r="B45" s="18">
        <f>'T&amp;M'!M53</f>
        <v>0</v>
      </c>
      <c r="C45" s="18">
        <f>'T&amp;M'!N53</f>
        <v>0</v>
      </c>
      <c r="D45" s="18">
        <f>'T&amp;M'!O53</f>
        <v>0</v>
      </c>
      <c r="E45" s="18">
        <f>'T&amp;M'!P53</f>
        <v>0</v>
      </c>
      <c r="F45" s="18">
        <f>'T&amp;M'!Q53</f>
        <v>0</v>
      </c>
      <c r="G45" s="18">
        <f>'T&amp;M'!R53</f>
        <v>0</v>
      </c>
      <c r="H45" s="18">
        <f>'T&amp;M'!S53</f>
        <v>0</v>
      </c>
      <c r="I45" s="18">
        <f>'T&amp;M'!T53</f>
        <v>0</v>
      </c>
      <c r="J45" s="18">
        <f>'T&amp;M'!U53</f>
        <v>0</v>
      </c>
      <c r="K45" s="18">
        <f>'T&amp;M'!V53</f>
        <v>0</v>
      </c>
      <c r="L45" s="18">
        <f>'T&amp;M'!W53</f>
        <v>0</v>
      </c>
      <c r="M45" s="18">
        <f>'T&amp;M'!X53</f>
        <v>0</v>
      </c>
      <c r="N45" s="18">
        <f>'T&amp;M'!Y53</f>
        <v>0</v>
      </c>
      <c r="O45" s="18">
        <f>'T&amp;M'!Z53</f>
        <v>0</v>
      </c>
      <c r="P45" s="18">
        <f>'T&amp;M'!AA53</f>
        <v>0</v>
      </c>
      <c r="Q45" s="18">
        <f>'T&amp;M'!AB53</f>
        <v>0</v>
      </c>
      <c r="R45" s="18">
        <f>'T&amp;M'!AC53</f>
        <v>0</v>
      </c>
      <c r="S45" s="18">
        <f>'T&amp;M'!AD53</f>
        <v>0</v>
      </c>
      <c r="T45" s="18">
        <f>'T&amp;M'!AE53</f>
        <v>0</v>
      </c>
      <c r="U45" s="18">
        <f>'T&amp;M'!AF53</f>
        <v>0</v>
      </c>
      <c r="V45" s="18">
        <f>'T&amp;M'!AG53</f>
        <v>0</v>
      </c>
      <c r="W45" s="18">
        <f>'T&amp;M'!AH53</f>
        <v>0</v>
      </c>
      <c r="X45" s="18">
        <f>'T&amp;M'!AI53</f>
        <v>0</v>
      </c>
      <c r="Y45" s="18">
        <f>'T&amp;M'!AJ53</f>
        <v>0</v>
      </c>
      <c r="Z45" s="18">
        <f>'T&amp;M'!AK53</f>
        <v>0</v>
      </c>
      <c r="AA45" s="18">
        <f>'T&amp;M'!AL53</f>
        <v>0</v>
      </c>
      <c r="AB45" s="18">
        <f>'T&amp;M'!AM53</f>
        <v>0</v>
      </c>
      <c r="AC45" s="18">
        <f>'T&amp;M'!AN53</f>
        <v>0</v>
      </c>
      <c r="AD45" s="18">
        <f>'T&amp;M'!AO53</f>
        <v>0</v>
      </c>
      <c r="AE45" s="18">
        <f>'T&amp;M'!AP53</f>
        <v>0</v>
      </c>
      <c r="AF45" s="18">
        <f>'T&amp;M'!AQ53</f>
        <v>0</v>
      </c>
      <c r="AG45" s="18">
        <f>'T&amp;M'!AR53</f>
        <v>0</v>
      </c>
      <c r="AH45" s="18">
        <f>'T&amp;M'!AS53</f>
        <v>0</v>
      </c>
      <c r="AI45" s="18">
        <f>'T&amp;M'!AT53</f>
        <v>0</v>
      </c>
      <c r="AJ45" s="18">
        <f>'T&amp;M'!AU53</f>
        <v>0</v>
      </c>
      <c r="AK45" s="18">
        <f>'T&amp;M'!AV53</f>
        <v>0</v>
      </c>
      <c r="AL45" s="18">
        <f>'T&amp;M'!AW53</f>
        <v>0</v>
      </c>
      <c r="AM45" s="18">
        <f>'T&amp;M'!AX53</f>
        <v>0</v>
      </c>
      <c r="AN45" s="18">
        <f>'T&amp;M'!AY53</f>
        <v>0</v>
      </c>
      <c r="AO45" s="18">
        <f>'T&amp;M'!AZ53</f>
        <v>0</v>
      </c>
      <c r="AP45" s="18">
        <f>'T&amp;M'!BA53</f>
        <v>0</v>
      </c>
      <c r="AQ45" s="18">
        <f>'T&amp;M'!BB53</f>
        <v>0</v>
      </c>
      <c r="AR45" s="18">
        <f>'T&amp;M'!BC53</f>
        <v>0</v>
      </c>
      <c r="AS45" s="18">
        <f>'T&amp;M'!BD53</f>
        <v>0</v>
      </c>
      <c r="AT45" s="18">
        <f>'T&amp;M'!BE53</f>
        <v>0</v>
      </c>
      <c r="AU45" s="18">
        <f>'T&amp;M'!BF53</f>
        <v>0</v>
      </c>
      <c r="AV45" s="18">
        <f>'T&amp;M'!BG53</f>
        <v>0</v>
      </c>
      <c r="AW45" s="18">
        <f>'T&amp;M'!BH53</f>
        <v>0</v>
      </c>
      <c r="AX45" s="18">
        <f>'T&amp;M'!BI53</f>
        <v>0</v>
      </c>
      <c r="AY45" s="18">
        <f>'T&amp;M'!BJ53</f>
        <v>0</v>
      </c>
      <c r="AZ45" s="18">
        <f>'T&amp;M'!BK53</f>
        <v>0</v>
      </c>
      <c r="BA45" s="18">
        <f>'T&amp;M'!BL53</f>
        <v>0</v>
      </c>
    </row>
    <row r="46" spans="1:53" ht="13" x14ac:dyDescent="0.45">
      <c r="A46" s="45">
        <f>'T&amp;M'!C54</f>
        <v>0</v>
      </c>
      <c r="B46" s="18">
        <f>'T&amp;M'!M54</f>
        <v>0</v>
      </c>
      <c r="C46" s="18">
        <f>'T&amp;M'!N54</f>
        <v>0</v>
      </c>
      <c r="D46" s="18">
        <f>'T&amp;M'!O54</f>
        <v>0</v>
      </c>
      <c r="E46" s="18">
        <f>'T&amp;M'!P54</f>
        <v>0</v>
      </c>
      <c r="F46" s="18">
        <f>'T&amp;M'!Q54</f>
        <v>0</v>
      </c>
      <c r="G46" s="18">
        <f>'T&amp;M'!R54</f>
        <v>0</v>
      </c>
      <c r="H46" s="18">
        <f>'T&amp;M'!S54</f>
        <v>0</v>
      </c>
      <c r="I46" s="18">
        <f>'T&amp;M'!T54</f>
        <v>0</v>
      </c>
      <c r="J46" s="18">
        <f>'T&amp;M'!U54</f>
        <v>0</v>
      </c>
      <c r="K46" s="18">
        <f>'T&amp;M'!V54</f>
        <v>0</v>
      </c>
      <c r="L46" s="18">
        <f>'T&amp;M'!W54</f>
        <v>0</v>
      </c>
      <c r="M46" s="18">
        <f>'T&amp;M'!X54</f>
        <v>0</v>
      </c>
      <c r="N46" s="18">
        <f>'T&amp;M'!Y54</f>
        <v>0</v>
      </c>
      <c r="O46" s="18">
        <f>'T&amp;M'!Z54</f>
        <v>0</v>
      </c>
      <c r="P46" s="18">
        <f>'T&amp;M'!AA54</f>
        <v>0</v>
      </c>
      <c r="Q46" s="18">
        <f>'T&amp;M'!AB54</f>
        <v>0</v>
      </c>
      <c r="R46" s="18">
        <f>'T&amp;M'!AC54</f>
        <v>0</v>
      </c>
      <c r="S46" s="18">
        <f>'T&amp;M'!AD54</f>
        <v>0</v>
      </c>
      <c r="T46" s="18">
        <f>'T&amp;M'!AE54</f>
        <v>0</v>
      </c>
      <c r="U46" s="18">
        <f>'T&amp;M'!AF54</f>
        <v>0</v>
      </c>
      <c r="V46" s="18">
        <f>'T&amp;M'!AG54</f>
        <v>0</v>
      </c>
      <c r="W46" s="18">
        <f>'T&amp;M'!AH54</f>
        <v>0</v>
      </c>
      <c r="X46" s="18">
        <f>'T&amp;M'!AI54</f>
        <v>0</v>
      </c>
      <c r="Y46" s="18">
        <f>'T&amp;M'!AJ54</f>
        <v>0</v>
      </c>
      <c r="Z46" s="18">
        <f>'T&amp;M'!AK54</f>
        <v>0</v>
      </c>
      <c r="AA46" s="18">
        <f>'T&amp;M'!AL54</f>
        <v>0</v>
      </c>
      <c r="AB46" s="18">
        <f>'T&amp;M'!AM54</f>
        <v>0</v>
      </c>
      <c r="AC46" s="18">
        <f>'T&amp;M'!AN54</f>
        <v>0</v>
      </c>
      <c r="AD46" s="18">
        <f>'T&amp;M'!AO54</f>
        <v>0</v>
      </c>
      <c r="AE46" s="18">
        <f>'T&amp;M'!AP54</f>
        <v>0</v>
      </c>
      <c r="AF46" s="18">
        <f>'T&amp;M'!AQ54</f>
        <v>0</v>
      </c>
      <c r="AG46" s="18">
        <f>'T&amp;M'!AR54</f>
        <v>0</v>
      </c>
      <c r="AH46" s="18">
        <f>'T&amp;M'!AS54</f>
        <v>0</v>
      </c>
      <c r="AI46" s="18">
        <f>'T&amp;M'!AT54</f>
        <v>0</v>
      </c>
      <c r="AJ46" s="18">
        <f>'T&amp;M'!AU54</f>
        <v>0</v>
      </c>
      <c r="AK46" s="18">
        <f>'T&amp;M'!AV54</f>
        <v>0</v>
      </c>
      <c r="AL46" s="18">
        <f>'T&amp;M'!AW54</f>
        <v>0</v>
      </c>
      <c r="AM46" s="18">
        <f>'T&amp;M'!AX54</f>
        <v>0</v>
      </c>
      <c r="AN46" s="18">
        <f>'T&amp;M'!AY54</f>
        <v>0</v>
      </c>
      <c r="AO46" s="18">
        <f>'T&amp;M'!AZ54</f>
        <v>0</v>
      </c>
      <c r="AP46" s="18">
        <f>'T&amp;M'!BA54</f>
        <v>0</v>
      </c>
      <c r="AQ46" s="18">
        <f>'T&amp;M'!BB54</f>
        <v>0</v>
      </c>
      <c r="AR46" s="18">
        <f>'T&amp;M'!BC54</f>
        <v>0</v>
      </c>
      <c r="AS46" s="18">
        <f>'T&amp;M'!BD54</f>
        <v>0</v>
      </c>
      <c r="AT46" s="18">
        <f>'T&amp;M'!BE54</f>
        <v>0</v>
      </c>
      <c r="AU46" s="18">
        <f>'T&amp;M'!BF54</f>
        <v>0</v>
      </c>
      <c r="AV46" s="18">
        <f>'T&amp;M'!BG54</f>
        <v>0</v>
      </c>
      <c r="AW46" s="18">
        <f>'T&amp;M'!BH54</f>
        <v>0</v>
      </c>
      <c r="AX46" s="18">
        <f>'T&amp;M'!BI54</f>
        <v>0</v>
      </c>
      <c r="AY46" s="18">
        <f>'T&amp;M'!BJ54</f>
        <v>0</v>
      </c>
      <c r="AZ46" s="18">
        <f>'T&amp;M'!BK54</f>
        <v>0</v>
      </c>
      <c r="BA46" s="18">
        <f>'T&amp;M'!BL54</f>
        <v>0</v>
      </c>
    </row>
    <row r="47" spans="1:53" ht="13" x14ac:dyDescent="0.45">
      <c r="A47" s="45">
        <f>'T&amp;M'!C55</f>
        <v>0</v>
      </c>
      <c r="B47" s="18">
        <f>'T&amp;M'!M55</f>
        <v>0</v>
      </c>
      <c r="C47" s="18">
        <f>'T&amp;M'!N55</f>
        <v>0</v>
      </c>
      <c r="D47" s="18">
        <f>'T&amp;M'!O55</f>
        <v>0</v>
      </c>
      <c r="E47" s="18">
        <f>'T&amp;M'!P55</f>
        <v>0</v>
      </c>
      <c r="F47" s="18">
        <f>'T&amp;M'!Q55</f>
        <v>0</v>
      </c>
      <c r="G47" s="18">
        <f>'T&amp;M'!R55</f>
        <v>0</v>
      </c>
      <c r="H47" s="18">
        <f>'T&amp;M'!S55</f>
        <v>0</v>
      </c>
      <c r="I47" s="18">
        <f>'T&amp;M'!T55</f>
        <v>0</v>
      </c>
      <c r="J47" s="18">
        <f>'T&amp;M'!U55</f>
        <v>0</v>
      </c>
      <c r="K47" s="18">
        <f>'T&amp;M'!V55</f>
        <v>0</v>
      </c>
      <c r="L47" s="18">
        <f>'T&amp;M'!W55</f>
        <v>0</v>
      </c>
      <c r="M47" s="18">
        <f>'T&amp;M'!X55</f>
        <v>0</v>
      </c>
      <c r="N47" s="18">
        <f>'T&amp;M'!Y55</f>
        <v>0</v>
      </c>
      <c r="O47" s="18">
        <f>'T&amp;M'!Z55</f>
        <v>0</v>
      </c>
      <c r="P47" s="18">
        <f>'T&amp;M'!AA55</f>
        <v>0</v>
      </c>
      <c r="Q47" s="18">
        <f>'T&amp;M'!AB55</f>
        <v>0</v>
      </c>
      <c r="R47" s="18">
        <f>'T&amp;M'!AC55</f>
        <v>0</v>
      </c>
      <c r="S47" s="18">
        <f>'T&amp;M'!AD55</f>
        <v>0</v>
      </c>
      <c r="T47" s="18">
        <f>'T&amp;M'!AE55</f>
        <v>0</v>
      </c>
      <c r="U47" s="18">
        <f>'T&amp;M'!AF55</f>
        <v>0</v>
      </c>
      <c r="V47" s="18">
        <f>'T&amp;M'!AG55</f>
        <v>0</v>
      </c>
      <c r="W47" s="18">
        <f>'T&amp;M'!AH55</f>
        <v>0</v>
      </c>
      <c r="X47" s="18">
        <f>'T&amp;M'!AI55</f>
        <v>0</v>
      </c>
      <c r="Y47" s="18">
        <f>'T&amp;M'!AJ55</f>
        <v>0</v>
      </c>
      <c r="Z47" s="18">
        <f>'T&amp;M'!AK55</f>
        <v>0</v>
      </c>
      <c r="AA47" s="18">
        <f>'T&amp;M'!AL55</f>
        <v>0</v>
      </c>
      <c r="AB47" s="18">
        <f>'T&amp;M'!AM55</f>
        <v>0</v>
      </c>
      <c r="AC47" s="18">
        <f>'T&amp;M'!AN55</f>
        <v>0</v>
      </c>
      <c r="AD47" s="18">
        <f>'T&amp;M'!AO55</f>
        <v>0</v>
      </c>
      <c r="AE47" s="18">
        <f>'T&amp;M'!AP55</f>
        <v>0</v>
      </c>
      <c r="AF47" s="18">
        <f>'T&amp;M'!AQ55</f>
        <v>0</v>
      </c>
      <c r="AG47" s="18">
        <f>'T&amp;M'!AR55</f>
        <v>0</v>
      </c>
      <c r="AH47" s="18">
        <f>'T&amp;M'!AS55</f>
        <v>0</v>
      </c>
      <c r="AI47" s="18">
        <f>'T&amp;M'!AT55</f>
        <v>0</v>
      </c>
      <c r="AJ47" s="18">
        <f>'T&amp;M'!AU55</f>
        <v>0</v>
      </c>
      <c r="AK47" s="18">
        <f>'T&amp;M'!AV55</f>
        <v>0</v>
      </c>
      <c r="AL47" s="18">
        <f>'T&amp;M'!AW55</f>
        <v>0</v>
      </c>
      <c r="AM47" s="18">
        <f>'T&amp;M'!AX55</f>
        <v>0</v>
      </c>
      <c r="AN47" s="18">
        <f>'T&amp;M'!AY55</f>
        <v>0</v>
      </c>
      <c r="AO47" s="18">
        <f>'T&amp;M'!AZ55</f>
        <v>0</v>
      </c>
      <c r="AP47" s="18">
        <f>'T&amp;M'!BA55</f>
        <v>0</v>
      </c>
      <c r="AQ47" s="18">
        <f>'T&amp;M'!BB55</f>
        <v>0</v>
      </c>
      <c r="AR47" s="18">
        <f>'T&amp;M'!BC55</f>
        <v>0</v>
      </c>
      <c r="AS47" s="18">
        <f>'T&amp;M'!BD55</f>
        <v>0</v>
      </c>
      <c r="AT47" s="18">
        <f>'T&amp;M'!BE55</f>
        <v>0</v>
      </c>
      <c r="AU47" s="18">
        <f>'T&amp;M'!BF55</f>
        <v>0</v>
      </c>
      <c r="AV47" s="18">
        <f>'T&amp;M'!BG55</f>
        <v>0</v>
      </c>
      <c r="AW47" s="18">
        <f>'T&amp;M'!BH55</f>
        <v>0</v>
      </c>
      <c r="AX47" s="18">
        <f>'T&amp;M'!BI55</f>
        <v>0</v>
      </c>
      <c r="AY47" s="18">
        <f>'T&amp;M'!BJ55</f>
        <v>0</v>
      </c>
      <c r="AZ47" s="18">
        <f>'T&amp;M'!BK55</f>
        <v>0</v>
      </c>
      <c r="BA47" s="18">
        <f>'T&amp;M'!BL55</f>
        <v>0</v>
      </c>
    </row>
    <row r="48" spans="1:53" ht="13" x14ac:dyDescent="0.45">
      <c r="A48" s="45">
        <f>'T&amp;M'!C56</f>
        <v>0</v>
      </c>
      <c r="B48" s="18">
        <f>'T&amp;M'!M56</f>
        <v>0</v>
      </c>
      <c r="C48" s="18">
        <f>'T&amp;M'!N56</f>
        <v>0</v>
      </c>
      <c r="D48" s="18">
        <f>'T&amp;M'!O56</f>
        <v>0</v>
      </c>
      <c r="E48" s="18">
        <f>'T&amp;M'!P56</f>
        <v>0</v>
      </c>
      <c r="F48" s="18">
        <f>'T&amp;M'!Q56</f>
        <v>0</v>
      </c>
      <c r="G48" s="18">
        <f>'T&amp;M'!R56</f>
        <v>0</v>
      </c>
      <c r="H48" s="18">
        <f>'T&amp;M'!S56</f>
        <v>0</v>
      </c>
      <c r="I48" s="18">
        <f>'T&amp;M'!T56</f>
        <v>0</v>
      </c>
      <c r="J48" s="18">
        <f>'T&amp;M'!U56</f>
        <v>0</v>
      </c>
      <c r="K48" s="18">
        <f>'T&amp;M'!V56</f>
        <v>0</v>
      </c>
      <c r="L48" s="18">
        <f>'T&amp;M'!W56</f>
        <v>0</v>
      </c>
      <c r="M48" s="18">
        <f>'T&amp;M'!X56</f>
        <v>0</v>
      </c>
      <c r="N48" s="18">
        <f>'T&amp;M'!Y56</f>
        <v>0</v>
      </c>
      <c r="O48" s="18">
        <f>'T&amp;M'!Z56</f>
        <v>0</v>
      </c>
      <c r="P48" s="18">
        <f>'T&amp;M'!AA56</f>
        <v>0</v>
      </c>
      <c r="Q48" s="18">
        <f>'T&amp;M'!AB56</f>
        <v>0</v>
      </c>
      <c r="R48" s="18">
        <f>'T&amp;M'!AC56</f>
        <v>0</v>
      </c>
      <c r="S48" s="18">
        <f>'T&amp;M'!AD56</f>
        <v>0</v>
      </c>
      <c r="T48" s="18">
        <f>'T&amp;M'!AE56</f>
        <v>0</v>
      </c>
      <c r="U48" s="18">
        <f>'T&amp;M'!AF56</f>
        <v>0</v>
      </c>
      <c r="V48" s="18">
        <f>'T&amp;M'!AG56</f>
        <v>0</v>
      </c>
      <c r="W48" s="18">
        <f>'T&amp;M'!AH56</f>
        <v>0</v>
      </c>
      <c r="X48" s="18">
        <f>'T&amp;M'!AI56</f>
        <v>0</v>
      </c>
      <c r="Y48" s="18">
        <f>'T&amp;M'!AJ56</f>
        <v>0</v>
      </c>
      <c r="Z48" s="18">
        <f>'T&amp;M'!AK56</f>
        <v>0</v>
      </c>
      <c r="AA48" s="18">
        <f>'T&amp;M'!AL56</f>
        <v>0</v>
      </c>
      <c r="AB48" s="18">
        <f>'T&amp;M'!AM56</f>
        <v>0</v>
      </c>
      <c r="AC48" s="18">
        <f>'T&amp;M'!AN56</f>
        <v>0</v>
      </c>
      <c r="AD48" s="18">
        <f>'T&amp;M'!AO56</f>
        <v>0</v>
      </c>
      <c r="AE48" s="18">
        <f>'T&amp;M'!AP56</f>
        <v>0</v>
      </c>
      <c r="AF48" s="18">
        <f>'T&amp;M'!AQ56</f>
        <v>0</v>
      </c>
      <c r="AG48" s="18">
        <f>'T&amp;M'!AR56</f>
        <v>0</v>
      </c>
      <c r="AH48" s="18">
        <f>'T&amp;M'!AS56</f>
        <v>0</v>
      </c>
      <c r="AI48" s="18">
        <f>'T&amp;M'!AT56</f>
        <v>0</v>
      </c>
      <c r="AJ48" s="18">
        <f>'T&amp;M'!AU56</f>
        <v>0</v>
      </c>
      <c r="AK48" s="18">
        <f>'T&amp;M'!AV56</f>
        <v>0</v>
      </c>
      <c r="AL48" s="18">
        <f>'T&amp;M'!AW56</f>
        <v>0</v>
      </c>
      <c r="AM48" s="18">
        <f>'T&amp;M'!AX56</f>
        <v>0</v>
      </c>
      <c r="AN48" s="18">
        <f>'T&amp;M'!AY56</f>
        <v>0</v>
      </c>
      <c r="AO48" s="18">
        <f>'T&amp;M'!AZ56</f>
        <v>0</v>
      </c>
      <c r="AP48" s="18">
        <f>'T&amp;M'!BA56</f>
        <v>0</v>
      </c>
      <c r="AQ48" s="18">
        <f>'T&amp;M'!BB56</f>
        <v>0</v>
      </c>
      <c r="AR48" s="18">
        <f>'T&amp;M'!BC56</f>
        <v>0</v>
      </c>
      <c r="AS48" s="18">
        <f>'T&amp;M'!BD56</f>
        <v>0</v>
      </c>
      <c r="AT48" s="18">
        <f>'T&amp;M'!BE56</f>
        <v>0</v>
      </c>
      <c r="AU48" s="18">
        <f>'T&amp;M'!BF56</f>
        <v>0</v>
      </c>
      <c r="AV48" s="18">
        <f>'T&amp;M'!BG56</f>
        <v>0</v>
      </c>
      <c r="AW48" s="18">
        <f>'T&amp;M'!BH56</f>
        <v>0</v>
      </c>
      <c r="AX48" s="18">
        <f>'T&amp;M'!BI56</f>
        <v>0</v>
      </c>
      <c r="AY48" s="18">
        <f>'T&amp;M'!BJ56</f>
        <v>0</v>
      </c>
      <c r="AZ48" s="18">
        <f>'T&amp;M'!BK56</f>
        <v>0</v>
      </c>
      <c r="BA48" s="18">
        <f>'T&amp;M'!BL56</f>
        <v>0</v>
      </c>
    </row>
    <row r="49" spans="1:53" ht="13" x14ac:dyDescent="0.45">
      <c r="A49" s="45">
        <f>'T&amp;M'!C57</f>
        <v>0</v>
      </c>
      <c r="B49" s="18">
        <f>'T&amp;M'!M57</f>
        <v>0</v>
      </c>
      <c r="C49" s="18">
        <f>'T&amp;M'!N57</f>
        <v>0</v>
      </c>
      <c r="D49" s="18">
        <f>'T&amp;M'!O57</f>
        <v>0</v>
      </c>
      <c r="E49" s="18">
        <f>'T&amp;M'!P57</f>
        <v>0</v>
      </c>
      <c r="F49" s="18">
        <f>'T&amp;M'!Q57</f>
        <v>0</v>
      </c>
      <c r="G49" s="18">
        <f>'T&amp;M'!R57</f>
        <v>0</v>
      </c>
      <c r="H49" s="18">
        <f>'T&amp;M'!S57</f>
        <v>0</v>
      </c>
      <c r="I49" s="18">
        <f>'T&amp;M'!T57</f>
        <v>0</v>
      </c>
      <c r="J49" s="18">
        <f>'T&amp;M'!U57</f>
        <v>0</v>
      </c>
      <c r="K49" s="18">
        <f>'T&amp;M'!V57</f>
        <v>0</v>
      </c>
      <c r="L49" s="18">
        <f>'T&amp;M'!W57</f>
        <v>0</v>
      </c>
      <c r="M49" s="18">
        <f>'T&amp;M'!X57</f>
        <v>0</v>
      </c>
      <c r="N49" s="18">
        <f>'T&amp;M'!Y57</f>
        <v>0</v>
      </c>
      <c r="O49" s="18">
        <f>'T&amp;M'!Z57</f>
        <v>0</v>
      </c>
      <c r="P49" s="18">
        <f>'T&amp;M'!AA57</f>
        <v>0</v>
      </c>
      <c r="Q49" s="18">
        <f>'T&amp;M'!AB57</f>
        <v>0</v>
      </c>
      <c r="R49" s="18">
        <f>'T&amp;M'!AC57</f>
        <v>0</v>
      </c>
      <c r="S49" s="18">
        <f>'T&amp;M'!AD57</f>
        <v>0</v>
      </c>
      <c r="T49" s="18">
        <f>'T&amp;M'!AE57</f>
        <v>0</v>
      </c>
      <c r="U49" s="18">
        <f>'T&amp;M'!AF57</f>
        <v>0</v>
      </c>
      <c r="V49" s="18">
        <f>'T&amp;M'!AG57</f>
        <v>0</v>
      </c>
      <c r="W49" s="18">
        <f>'T&amp;M'!AH57</f>
        <v>0</v>
      </c>
      <c r="X49" s="18">
        <f>'T&amp;M'!AI57</f>
        <v>0</v>
      </c>
      <c r="Y49" s="18">
        <f>'T&amp;M'!AJ57</f>
        <v>0</v>
      </c>
      <c r="Z49" s="18">
        <f>'T&amp;M'!AK57</f>
        <v>0</v>
      </c>
      <c r="AA49" s="18">
        <f>'T&amp;M'!AL57</f>
        <v>0</v>
      </c>
      <c r="AB49" s="18">
        <f>'T&amp;M'!AM57</f>
        <v>0</v>
      </c>
      <c r="AC49" s="18">
        <f>'T&amp;M'!AN57</f>
        <v>0</v>
      </c>
      <c r="AD49" s="18">
        <f>'T&amp;M'!AO57</f>
        <v>0</v>
      </c>
      <c r="AE49" s="18">
        <f>'T&amp;M'!AP57</f>
        <v>0</v>
      </c>
      <c r="AF49" s="18">
        <f>'T&amp;M'!AQ57</f>
        <v>0</v>
      </c>
      <c r="AG49" s="18">
        <f>'T&amp;M'!AR57</f>
        <v>0</v>
      </c>
      <c r="AH49" s="18">
        <f>'T&amp;M'!AS57</f>
        <v>0</v>
      </c>
      <c r="AI49" s="18">
        <f>'T&amp;M'!AT57</f>
        <v>0</v>
      </c>
      <c r="AJ49" s="18">
        <f>'T&amp;M'!AU57</f>
        <v>0</v>
      </c>
      <c r="AK49" s="18">
        <f>'T&amp;M'!AV57</f>
        <v>0</v>
      </c>
      <c r="AL49" s="18">
        <f>'T&amp;M'!AW57</f>
        <v>0</v>
      </c>
      <c r="AM49" s="18">
        <f>'T&amp;M'!AX57</f>
        <v>0</v>
      </c>
      <c r="AN49" s="18">
        <f>'T&amp;M'!AY57</f>
        <v>0</v>
      </c>
      <c r="AO49" s="18">
        <f>'T&amp;M'!AZ57</f>
        <v>0</v>
      </c>
      <c r="AP49" s="18">
        <f>'T&amp;M'!BA57</f>
        <v>0</v>
      </c>
      <c r="AQ49" s="18">
        <f>'T&amp;M'!BB57</f>
        <v>0</v>
      </c>
      <c r="AR49" s="18">
        <f>'T&amp;M'!BC57</f>
        <v>0</v>
      </c>
      <c r="AS49" s="18">
        <f>'T&amp;M'!BD57</f>
        <v>0</v>
      </c>
      <c r="AT49" s="18">
        <f>'T&amp;M'!BE57</f>
        <v>0</v>
      </c>
      <c r="AU49" s="18">
        <f>'T&amp;M'!BF57</f>
        <v>0</v>
      </c>
      <c r="AV49" s="18">
        <f>'T&amp;M'!BG57</f>
        <v>0</v>
      </c>
      <c r="AW49" s="18">
        <f>'T&amp;M'!BH57</f>
        <v>0</v>
      </c>
      <c r="AX49" s="18">
        <f>'T&amp;M'!BI57</f>
        <v>0</v>
      </c>
      <c r="AY49" s="18">
        <f>'T&amp;M'!BJ57</f>
        <v>0</v>
      </c>
      <c r="AZ49" s="18">
        <f>'T&amp;M'!BK57</f>
        <v>0</v>
      </c>
      <c r="BA49" s="18">
        <f>'T&amp;M'!BL57</f>
        <v>0</v>
      </c>
    </row>
    <row r="50" spans="1:53" ht="13" x14ac:dyDescent="0.45">
      <c r="A50" s="45">
        <f>'T&amp;M'!C58</f>
        <v>0</v>
      </c>
      <c r="B50" s="18">
        <f>'T&amp;M'!M58</f>
        <v>0</v>
      </c>
      <c r="C50" s="18">
        <f>'T&amp;M'!N58</f>
        <v>0</v>
      </c>
      <c r="D50" s="18">
        <f>'T&amp;M'!O58</f>
        <v>0</v>
      </c>
      <c r="E50" s="18">
        <f>'T&amp;M'!P58</f>
        <v>0</v>
      </c>
      <c r="F50" s="18">
        <f>'T&amp;M'!Q58</f>
        <v>0</v>
      </c>
      <c r="G50" s="18">
        <f>'T&amp;M'!R58</f>
        <v>0</v>
      </c>
      <c r="H50" s="18">
        <f>'T&amp;M'!S58</f>
        <v>0</v>
      </c>
      <c r="I50" s="18">
        <f>'T&amp;M'!T58</f>
        <v>0</v>
      </c>
      <c r="J50" s="18">
        <f>'T&amp;M'!U58</f>
        <v>0</v>
      </c>
      <c r="K50" s="18">
        <f>'T&amp;M'!V58</f>
        <v>0</v>
      </c>
      <c r="L50" s="18">
        <f>'T&amp;M'!W58</f>
        <v>0</v>
      </c>
      <c r="M50" s="18">
        <f>'T&amp;M'!X58</f>
        <v>0</v>
      </c>
      <c r="N50" s="18">
        <f>'T&amp;M'!Y58</f>
        <v>0</v>
      </c>
      <c r="O50" s="18">
        <f>'T&amp;M'!Z58</f>
        <v>0</v>
      </c>
      <c r="P50" s="18">
        <f>'T&amp;M'!AA58</f>
        <v>0</v>
      </c>
      <c r="Q50" s="18">
        <f>'T&amp;M'!AB58</f>
        <v>0</v>
      </c>
      <c r="R50" s="18">
        <f>'T&amp;M'!AC58</f>
        <v>0</v>
      </c>
      <c r="S50" s="18">
        <f>'T&amp;M'!AD58</f>
        <v>0</v>
      </c>
      <c r="T50" s="18">
        <f>'T&amp;M'!AE58</f>
        <v>0</v>
      </c>
      <c r="U50" s="18">
        <f>'T&amp;M'!AF58</f>
        <v>0</v>
      </c>
      <c r="V50" s="18">
        <f>'T&amp;M'!AG58</f>
        <v>0</v>
      </c>
      <c r="W50" s="18">
        <f>'T&amp;M'!AH58</f>
        <v>0</v>
      </c>
      <c r="X50" s="18">
        <f>'T&amp;M'!AI58</f>
        <v>0</v>
      </c>
      <c r="Y50" s="18">
        <f>'T&amp;M'!AJ58</f>
        <v>0</v>
      </c>
      <c r="Z50" s="18">
        <f>'T&amp;M'!AK58</f>
        <v>0</v>
      </c>
      <c r="AA50" s="18">
        <f>'T&amp;M'!AL58</f>
        <v>0</v>
      </c>
      <c r="AB50" s="18">
        <f>'T&amp;M'!AM58</f>
        <v>0</v>
      </c>
      <c r="AC50" s="18">
        <f>'T&amp;M'!AN58</f>
        <v>0</v>
      </c>
      <c r="AD50" s="18">
        <f>'T&amp;M'!AO58</f>
        <v>0</v>
      </c>
      <c r="AE50" s="18">
        <f>'T&amp;M'!AP58</f>
        <v>0</v>
      </c>
      <c r="AF50" s="18">
        <f>'T&amp;M'!AQ58</f>
        <v>0</v>
      </c>
      <c r="AG50" s="18">
        <f>'T&amp;M'!AR58</f>
        <v>0</v>
      </c>
      <c r="AH50" s="18">
        <f>'T&amp;M'!AS58</f>
        <v>0</v>
      </c>
      <c r="AI50" s="18">
        <f>'T&amp;M'!AT58</f>
        <v>0</v>
      </c>
      <c r="AJ50" s="18">
        <f>'T&amp;M'!AU58</f>
        <v>0</v>
      </c>
      <c r="AK50" s="18">
        <f>'T&amp;M'!AV58</f>
        <v>0</v>
      </c>
      <c r="AL50" s="18">
        <f>'T&amp;M'!AW58</f>
        <v>0</v>
      </c>
      <c r="AM50" s="18">
        <f>'T&amp;M'!AX58</f>
        <v>0</v>
      </c>
      <c r="AN50" s="18">
        <f>'T&amp;M'!AY58</f>
        <v>0</v>
      </c>
      <c r="AO50" s="18">
        <f>'T&amp;M'!AZ58</f>
        <v>0</v>
      </c>
      <c r="AP50" s="18">
        <f>'T&amp;M'!BA58</f>
        <v>0</v>
      </c>
      <c r="AQ50" s="18">
        <f>'T&amp;M'!BB58</f>
        <v>0</v>
      </c>
      <c r="AR50" s="18">
        <f>'T&amp;M'!BC58</f>
        <v>0</v>
      </c>
      <c r="AS50" s="18">
        <f>'T&amp;M'!BD58</f>
        <v>0</v>
      </c>
      <c r="AT50" s="18">
        <f>'T&amp;M'!BE58</f>
        <v>0</v>
      </c>
      <c r="AU50" s="18">
        <f>'T&amp;M'!BF58</f>
        <v>0</v>
      </c>
      <c r="AV50" s="18">
        <f>'T&amp;M'!BG58</f>
        <v>0</v>
      </c>
      <c r="AW50" s="18">
        <f>'T&amp;M'!BH58</f>
        <v>0</v>
      </c>
      <c r="AX50" s="18">
        <f>'T&amp;M'!BI58</f>
        <v>0</v>
      </c>
      <c r="AY50" s="18">
        <f>'T&amp;M'!BJ58</f>
        <v>0</v>
      </c>
      <c r="AZ50" s="18">
        <f>'T&amp;M'!BK58</f>
        <v>0</v>
      </c>
      <c r="BA50" s="18">
        <f>'T&amp;M'!BL58</f>
        <v>0</v>
      </c>
    </row>
    <row r="51" spans="1:53" ht="13" x14ac:dyDescent="0.45">
      <c r="A51" s="45">
        <f>'T&amp;M'!C59</f>
        <v>0</v>
      </c>
      <c r="B51" s="18">
        <f>'T&amp;M'!M59</f>
        <v>0</v>
      </c>
      <c r="C51" s="18">
        <f>'T&amp;M'!N59</f>
        <v>0</v>
      </c>
      <c r="D51" s="18">
        <f>'T&amp;M'!O59</f>
        <v>0</v>
      </c>
      <c r="E51" s="18">
        <f>'T&amp;M'!P59</f>
        <v>0</v>
      </c>
      <c r="F51" s="18">
        <f>'T&amp;M'!Q59</f>
        <v>0</v>
      </c>
      <c r="G51" s="18">
        <f>'T&amp;M'!R59</f>
        <v>0</v>
      </c>
      <c r="H51" s="18">
        <f>'T&amp;M'!S59</f>
        <v>0</v>
      </c>
      <c r="I51" s="18">
        <f>'T&amp;M'!T59</f>
        <v>0</v>
      </c>
      <c r="J51" s="18">
        <f>'T&amp;M'!U59</f>
        <v>0</v>
      </c>
      <c r="K51" s="18">
        <f>'T&amp;M'!V59</f>
        <v>0</v>
      </c>
      <c r="L51" s="18">
        <f>'T&amp;M'!W59</f>
        <v>0</v>
      </c>
      <c r="M51" s="18">
        <f>'T&amp;M'!X59</f>
        <v>0</v>
      </c>
      <c r="N51" s="18">
        <f>'T&amp;M'!Y59</f>
        <v>0</v>
      </c>
      <c r="O51" s="18">
        <f>'T&amp;M'!Z59</f>
        <v>0</v>
      </c>
      <c r="P51" s="18">
        <f>'T&amp;M'!AA59</f>
        <v>0</v>
      </c>
      <c r="Q51" s="18">
        <f>'T&amp;M'!AB59</f>
        <v>0</v>
      </c>
      <c r="R51" s="18">
        <f>'T&amp;M'!AC59</f>
        <v>0</v>
      </c>
      <c r="S51" s="18">
        <f>'T&amp;M'!AD59</f>
        <v>0</v>
      </c>
      <c r="T51" s="18">
        <f>'T&amp;M'!AE59</f>
        <v>0</v>
      </c>
      <c r="U51" s="18">
        <f>'T&amp;M'!AF59</f>
        <v>0</v>
      </c>
      <c r="V51" s="18">
        <f>'T&amp;M'!AG59</f>
        <v>0</v>
      </c>
      <c r="W51" s="18">
        <f>'T&amp;M'!AH59</f>
        <v>0</v>
      </c>
      <c r="X51" s="18">
        <f>'T&amp;M'!AI59</f>
        <v>0</v>
      </c>
      <c r="Y51" s="18">
        <f>'T&amp;M'!AJ59</f>
        <v>0</v>
      </c>
      <c r="Z51" s="18">
        <f>'T&amp;M'!AK59</f>
        <v>0</v>
      </c>
      <c r="AA51" s="18">
        <f>'T&amp;M'!AL59</f>
        <v>0</v>
      </c>
      <c r="AB51" s="18">
        <f>'T&amp;M'!AM59</f>
        <v>0</v>
      </c>
      <c r="AC51" s="18">
        <f>'T&amp;M'!AN59</f>
        <v>0</v>
      </c>
      <c r="AD51" s="18">
        <f>'T&amp;M'!AO59</f>
        <v>0</v>
      </c>
      <c r="AE51" s="18">
        <f>'T&amp;M'!AP59</f>
        <v>0</v>
      </c>
      <c r="AF51" s="18">
        <f>'T&amp;M'!AQ59</f>
        <v>0</v>
      </c>
      <c r="AG51" s="18">
        <f>'T&amp;M'!AR59</f>
        <v>0</v>
      </c>
      <c r="AH51" s="18">
        <f>'T&amp;M'!AS59</f>
        <v>0</v>
      </c>
      <c r="AI51" s="18">
        <f>'T&amp;M'!AT59</f>
        <v>0</v>
      </c>
      <c r="AJ51" s="18">
        <f>'T&amp;M'!AU59</f>
        <v>0</v>
      </c>
      <c r="AK51" s="18">
        <f>'T&amp;M'!AV59</f>
        <v>0</v>
      </c>
      <c r="AL51" s="18">
        <f>'T&amp;M'!AW59</f>
        <v>0</v>
      </c>
      <c r="AM51" s="18">
        <f>'T&amp;M'!AX59</f>
        <v>0</v>
      </c>
      <c r="AN51" s="18">
        <f>'T&amp;M'!AY59</f>
        <v>0</v>
      </c>
      <c r="AO51" s="18">
        <f>'T&amp;M'!AZ59</f>
        <v>0</v>
      </c>
      <c r="AP51" s="18">
        <f>'T&amp;M'!BA59</f>
        <v>0</v>
      </c>
      <c r="AQ51" s="18">
        <f>'T&amp;M'!BB59</f>
        <v>0</v>
      </c>
      <c r="AR51" s="18">
        <f>'T&amp;M'!BC59</f>
        <v>0</v>
      </c>
      <c r="AS51" s="18">
        <f>'T&amp;M'!BD59</f>
        <v>0</v>
      </c>
      <c r="AT51" s="18">
        <f>'T&amp;M'!BE59</f>
        <v>0</v>
      </c>
      <c r="AU51" s="18">
        <f>'T&amp;M'!BF59</f>
        <v>0</v>
      </c>
      <c r="AV51" s="18">
        <f>'T&amp;M'!BG59</f>
        <v>0</v>
      </c>
      <c r="AW51" s="18">
        <f>'T&amp;M'!BH59</f>
        <v>0</v>
      </c>
      <c r="AX51" s="18">
        <f>'T&amp;M'!BI59</f>
        <v>0</v>
      </c>
      <c r="AY51" s="18">
        <f>'T&amp;M'!BJ59</f>
        <v>0</v>
      </c>
      <c r="AZ51" s="18">
        <f>'T&amp;M'!BK59</f>
        <v>0</v>
      </c>
      <c r="BA51" s="18">
        <f>'T&amp;M'!BL59</f>
        <v>0</v>
      </c>
    </row>
    <row r="52" spans="1:53" ht="13" x14ac:dyDescent="0.45">
      <c r="A52" s="45">
        <f>'T&amp;M'!C60</f>
        <v>0</v>
      </c>
      <c r="B52" s="18">
        <f>'T&amp;M'!M60</f>
        <v>0</v>
      </c>
      <c r="C52" s="18">
        <f>'T&amp;M'!N60</f>
        <v>0</v>
      </c>
      <c r="D52" s="18">
        <f>'T&amp;M'!O60</f>
        <v>0</v>
      </c>
      <c r="E52" s="18">
        <f>'T&amp;M'!P60</f>
        <v>0</v>
      </c>
      <c r="F52" s="18">
        <f>'T&amp;M'!Q60</f>
        <v>0</v>
      </c>
      <c r="G52" s="18">
        <f>'T&amp;M'!R60</f>
        <v>0</v>
      </c>
      <c r="H52" s="18">
        <f>'T&amp;M'!S60</f>
        <v>0</v>
      </c>
      <c r="I52" s="18">
        <f>'T&amp;M'!T60</f>
        <v>0</v>
      </c>
      <c r="J52" s="18">
        <f>'T&amp;M'!U60</f>
        <v>0</v>
      </c>
      <c r="K52" s="18">
        <f>'T&amp;M'!V60</f>
        <v>0</v>
      </c>
      <c r="L52" s="18">
        <f>'T&amp;M'!W60</f>
        <v>0</v>
      </c>
      <c r="M52" s="18">
        <f>'T&amp;M'!X60</f>
        <v>0</v>
      </c>
      <c r="N52" s="18">
        <f>'T&amp;M'!Y60</f>
        <v>0</v>
      </c>
      <c r="O52" s="18">
        <f>'T&amp;M'!Z60</f>
        <v>0</v>
      </c>
      <c r="P52" s="18">
        <f>'T&amp;M'!AA60</f>
        <v>0</v>
      </c>
      <c r="Q52" s="18">
        <f>'T&amp;M'!AB60</f>
        <v>0</v>
      </c>
      <c r="R52" s="18">
        <f>'T&amp;M'!AC60</f>
        <v>0</v>
      </c>
      <c r="S52" s="18">
        <f>'T&amp;M'!AD60</f>
        <v>0</v>
      </c>
      <c r="T52" s="18">
        <f>'T&amp;M'!AE60</f>
        <v>0</v>
      </c>
      <c r="U52" s="18">
        <f>'T&amp;M'!AF60</f>
        <v>0</v>
      </c>
      <c r="V52" s="18">
        <f>'T&amp;M'!AG60</f>
        <v>0</v>
      </c>
      <c r="W52" s="18">
        <f>'T&amp;M'!AH60</f>
        <v>0</v>
      </c>
      <c r="X52" s="18">
        <f>'T&amp;M'!AI60</f>
        <v>0</v>
      </c>
      <c r="Y52" s="18">
        <f>'T&amp;M'!AJ60</f>
        <v>0</v>
      </c>
      <c r="Z52" s="18">
        <f>'T&amp;M'!AK60</f>
        <v>0</v>
      </c>
      <c r="AA52" s="18">
        <f>'T&amp;M'!AL60</f>
        <v>0</v>
      </c>
      <c r="AB52" s="18">
        <f>'T&amp;M'!AM60</f>
        <v>0</v>
      </c>
      <c r="AC52" s="18">
        <f>'T&amp;M'!AN60</f>
        <v>0</v>
      </c>
      <c r="AD52" s="18">
        <f>'T&amp;M'!AO60</f>
        <v>0</v>
      </c>
      <c r="AE52" s="18">
        <f>'T&amp;M'!AP60</f>
        <v>0</v>
      </c>
      <c r="AF52" s="18">
        <f>'T&amp;M'!AQ60</f>
        <v>0</v>
      </c>
      <c r="AG52" s="18">
        <f>'T&amp;M'!AR60</f>
        <v>0</v>
      </c>
      <c r="AH52" s="18">
        <f>'T&amp;M'!AS60</f>
        <v>0</v>
      </c>
      <c r="AI52" s="18">
        <f>'T&amp;M'!AT60</f>
        <v>0</v>
      </c>
      <c r="AJ52" s="18">
        <f>'T&amp;M'!AU60</f>
        <v>0</v>
      </c>
      <c r="AK52" s="18">
        <f>'T&amp;M'!AV60</f>
        <v>0</v>
      </c>
      <c r="AL52" s="18">
        <f>'T&amp;M'!AW60</f>
        <v>0</v>
      </c>
      <c r="AM52" s="18">
        <f>'T&amp;M'!AX60</f>
        <v>0</v>
      </c>
      <c r="AN52" s="18">
        <f>'T&amp;M'!AY60</f>
        <v>0</v>
      </c>
      <c r="AO52" s="18">
        <f>'T&amp;M'!AZ60</f>
        <v>0</v>
      </c>
      <c r="AP52" s="18">
        <f>'T&amp;M'!BA60</f>
        <v>0</v>
      </c>
      <c r="AQ52" s="18">
        <f>'T&amp;M'!BB60</f>
        <v>0</v>
      </c>
      <c r="AR52" s="18">
        <f>'T&amp;M'!BC60</f>
        <v>0</v>
      </c>
      <c r="AS52" s="18">
        <f>'T&amp;M'!BD60</f>
        <v>0</v>
      </c>
      <c r="AT52" s="18">
        <f>'T&amp;M'!BE60</f>
        <v>0</v>
      </c>
      <c r="AU52" s="18">
        <f>'T&amp;M'!BF60</f>
        <v>0</v>
      </c>
      <c r="AV52" s="18">
        <f>'T&amp;M'!BG60</f>
        <v>0</v>
      </c>
      <c r="AW52" s="18">
        <f>'T&amp;M'!BH60</f>
        <v>0</v>
      </c>
      <c r="AX52" s="18">
        <f>'T&amp;M'!BI60</f>
        <v>0</v>
      </c>
      <c r="AY52" s="18">
        <f>'T&amp;M'!BJ60</f>
        <v>0</v>
      </c>
      <c r="AZ52" s="18">
        <f>'T&amp;M'!BK60</f>
        <v>0</v>
      </c>
      <c r="BA52" s="18">
        <f>'T&amp;M'!BL60</f>
        <v>0</v>
      </c>
    </row>
    <row r="53" spans="1:53" ht="13" x14ac:dyDescent="0.45">
      <c r="A53" s="45">
        <f>'T&amp;M'!C61</f>
        <v>0</v>
      </c>
      <c r="B53" s="18">
        <f>'T&amp;M'!M61</f>
        <v>0</v>
      </c>
      <c r="C53" s="18">
        <f>'T&amp;M'!N61</f>
        <v>0</v>
      </c>
      <c r="D53" s="18">
        <f>'T&amp;M'!O61</f>
        <v>0</v>
      </c>
      <c r="E53" s="18">
        <f>'T&amp;M'!P61</f>
        <v>0</v>
      </c>
      <c r="F53" s="18">
        <f>'T&amp;M'!Q61</f>
        <v>0</v>
      </c>
      <c r="G53" s="18">
        <f>'T&amp;M'!R61</f>
        <v>0</v>
      </c>
      <c r="H53" s="18">
        <f>'T&amp;M'!S61</f>
        <v>0</v>
      </c>
      <c r="I53" s="18">
        <f>'T&amp;M'!T61</f>
        <v>0</v>
      </c>
      <c r="J53" s="18">
        <f>'T&amp;M'!U61</f>
        <v>0</v>
      </c>
      <c r="K53" s="18">
        <f>'T&amp;M'!V61</f>
        <v>0</v>
      </c>
      <c r="L53" s="18">
        <f>'T&amp;M'!W61</f>
        <v>0</v>
      </c>
      <c r="M53" s="18">
        <f>'T&amp;M'!X61</f>
        <v>0</v>
      </c>
      <c r="N53" s="18">
        <f>'T&amp;M'!Y61</f>
        <v>0</v>
      </c>
      <c r="O53" s="18">
        <f>'T&amp;M'!Z61</f>
        <v>0</v>
      </c>
      <c r="P53" s="18">
        <f>'T&amp;M'!AA61</f>
        <v>0</v>
      </c>
      <c r="Q53" s="18">
        <f>'T&amp;M'!AB61</f>
        <v>0</v>
      </c>
      <c r="R53" s="18">
        <f>'T&amp;M'!AC61</f>
        <v>0</v>
      </c>
      <c r="S53" s="18">
        <f>'T&amp;M'!AD61</f>
        <v>0</v>
      </c>
      <c r="T53" s="18">
        <f>'T&amp;M'!AE61</f>
        <v>0</v>
      </c>
      <c r="U53" s="18">
        <f>'T&amp;M'!AF61</f>
        <v>0</v>
      </c>
      <c r="V53" s="18">
        <f>'T&amp;M'!AG61</f>
        <v>0</v>
      </c>
      <c r="W53" s="18">
        <f>'T&amp;M'!AH61</f>
        <v>0</v>
      </c>
      <c r="X53" s="18">
        <f>'T&amp;M'!AI61</f>
        <v>0</v>
      </c>
      <c r="Y53" s="18">
        <f>'T&amp;M'!AJ61</f>
        <v>0</v>
      </c>
      <c r="Z53" s="18">
        <f>'T&amp;M'!AK61</f>
        <v>0</v>
      </c>
      <c r="AA53" s="18">
        <f>'T&amp;M'!AL61</f>
        <v>0</v>
      </c>
      <c r="AB53" s="18">
        <f>'T&amp;M'!AM61</f>
        <v>0</v>
      </c>
      <c r="AC53" s="18">
        <f>'T&amp;M'!AN61</f>
        <v>0</v>
      </c>
      <c r="AD53" s="18">
        <f>'T&amp;M'!AO61</f>
        <v>0</v>
      </c>
      <c r="AE53" s="18">
        <f>'T&amp;M'!AP61</f>
        <v>0</v>
      </c>
      <c r="AF53" s="18">
        <f>'T&amp;M'!AQ61</f>
        <v>0</v>
      </c>
      <c r="AG53" s="18">
        <f>'T&amp;M'!AR61</f>
        <v>0</v>
      </c>
      <c r="AH53" s="18">
        <f>'T&amp;M'!AS61</f>
        <v>0</v>
      </c>
      <c r="AI53" s="18">
        <f>'T&amp;M'!AT61</f>
        <v>0</v>
      </c>
      <c r="AJ53" s="18">
        <f>'T&amp;M'!AU61</f>
        <v>0</v>
      </c>
      <c r="AK53" s="18">
        <f>'T&amp;M'!AV61</f>
        <v>0</v>
      </c>
      <c r="AL53" s="18">
        <f>'T&amp;M'!AW61</f>
        <v>0</v>
      </c>
      <c r="AM53" s="18">
        <f>'T&amp;M'!AX61</f>
        <v>0</v>
      </c>
      <c r="AN53" s="18">
        <f>'T&amp;M'!AY61</f>
        <v>0</v>
      </c>
      <c r="AO53" s="18">
        <f>'T&amp;M'!AZ61</f>
        <v>0</v>
      </c>
      <c r="AP53" s="18">
        <f>'T&amp;M'!BA61</f>
        <v>0</v>
      </c>
      <c r="AQ53" s="18">
        <f>'T&amp;M'!BB61</f>
        <v>0</v>
      </c>
      <c r="AR53" s="18">
        <f>'T&amp;M'!BC61</f>
        <v>0</v>
      </c>
      <c r="AS53" s="18">
        <f>'T&amp;M'!BD61</f>
        <v>0</v>
      </c>
      <c r="AT53" s="18">
        <f>'T&amp;M'!BE61</f>
        <v>0</v>
      </c>
      <c r="AU53" s="18">
        <f>'T&amp;M'!BF61</f>
        <v>0</v>
      </c>
      <c r="AV53" s="18">
        <f>'T&amp;M'!BG61</f>
        <v>0</v>
      </c>
      <c r="AW53" s="18">
        <f>'T&amp;M'!BH61</f>
        <v>0</v>
      </c>
      <c r="AX53" s="18">
        <f>'T&amp;M'!BI61</f>
        <v>0</v>
      </c>
      <c r="AY53" s="18">
        <f>'T&amp;M'!BJ61</f>
        <v>0</v>
      </c>
      <c r="AZ53" s="18">
        <f>'T&amp;M'!BK61</f>
        <v>0</v>
      </c>
      <c r="BA53" s="18">
        <f>'T&amp;M'!BL61</f>
        <v>0</v>
      </c>
    </row>
    <row r="54" spans="1:53" x14ac:dyDescent="0.4">
      <c r="A54" s="43"/>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row>
    <row r="55" spans="1:53" x14ac:dyDescent="0.4">
      <c r="A55" s="43"/>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row>
    <row r="56" spans="1:53" x14ac:dyDescent="0.4">
      <c r="A56" s="43"/>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row>
    <row r="57" spans="1:53" x14ac:dyDescent="0.4">
      <c r="A57" s="43"/>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row>
    <row r="58" spans="1:53" x14ac:dyDescent="0.4">
      <c r="A58" s="43"/>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row>
    <row r="59" spans="1:53" x14ac:dyDescent="0.4">
      <c r="A59" s="43"/>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row>
    <row r="60" spans="1:53" x14ac:dyDescent="0.4">
      <c r="A60" s="43"/>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row>
    <row r="61" spans="1:53" x14ac:dyDescent="0.4">
      <c r="A61" s="43"/>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row>
  </sheetData>
  <mergeCells count="53">
    <mergeCell ref="AW1:AW2"/>
    <mergeCell ref="AX1:AX2"/>
    <mergeCell ref="AY1:AY2"/>
    <mergeCell ref="AZ1:AZ2"/>
    <mergeCell ref="BA1:BA2"/>
    <mergeCell ref="A1:A3"/>
    <mergeCell ref="AQ1:AQ2"/>
    <mergeCell ref="AR1:AR2"/>
    <mergeCell ref="AS1:AS2"/>
    <mergeCell ref="AT1:AT2"/>
    <mergeCell ref="AE1:AE2"/>
    <mergeCell ref="AF1:AF2"/>
    <mergeCell ref="AG1:AG2"/>
    <mergeCell ref="AH1:AH2"/>
    <mergeCell ref="AI1:AI2"/>
    <mergeCell ref="AJ1:AJ2"/>
    <mergeCell ref="Y1:Y2"/>
    <mergeCell ref="Z1:Z2"/>
    <mergeCell ref="AA1:AA2"/>
    <mergeCell ref="AB1:AB2"/>
    <mergeCell ref="AC1:AC2"/>
    <mergeCell ref="AU1:AU2"/>
    <mergeCell ref="AV1:AV2"/>
    <mergeCell ref="AK1:AK2"/>
    <mergeCell ref="AL1:AL2"/>
    <mergeCell ref="AM1:AM2"/>
    <mergeCell ref="AN1:AN2"/>
    <mergeCell ref="AO1:AO2"/>
    <mergeCell ref="AP1:AP2"/>
    <mergeCell ref="AD1:AD2"/>
    <mergeCell ref="S1:S2"/>
    <mergeCell ref="T1:T2"/>
    <mergeCell ref="U1:U2"/>
    <mergeCell ref="V1:V2"/>
    <mergeCell ref="W1:W2"/>
    <mergeCell ref="X1:X2"/>
    <mergeCell ref="R1:R2"/>
    <mergeCell ref="G1:G2"/>
    <mergeCell ref="H1:H2"/>
    <mergeCell ref="I1:I2"/>
    <mergeCell ref="J1:J2"/>
    <mergeCell ref="K1:K2"/>
    <mergeCell ref="L1:L2"/>
    <mergeCell ref="M1:M2"/>
    <mergeCell ref="N1:N2"/>
    <mergeCell ref="O1:O2"/>
    <mergeCell ref="P1:P2"/>
    <mergeCell ref="Q1:Q2"/>
    <mergeCell ref="B1:B2"/>
    <mergeCell ref="C1:C2"/>
    <mergeCell ref="D1:D2"/>
    <mergeCell ref="E1:E2"/>
    <mergeCell ref="F1:F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Y48"/>
  <sheetViews>
    <sheetView workbookViewId="0">
      <selection activeCell="A3" sqref="A3"/>
    </sheetView>
  </sheetViews>
  <sheetFormatPr defaultColWidth="8.703125" defaultRowHeight="12.7" x14ac:dyDescent="0.4"/>
  <cols>
    <col min="1" max="1" width="15.1171875" style="47" customWidth="1"/>
    <col min="2" max="3" width="17.703125" bestFit="1" customWidth="1"/>
    <col min="4" max="6" width="18.703125" bestFit="1" customWidth="1"/>
    <col min="7" max="7" width="17.41015625" bestFit="1" customWidth="1"/>
    <col min="8" max="10" width="18.703125" bestFit="1" customWidth="1"/>
    <col min="11" max="11" width="15.703125" bestFit="1" customWidth="1"/>
    <col min="12" max="15" width="17" bestFit="1" customWidth="1"/>
    <col min="16" max="16" width="16.703125" bestFit="1" customWidth="1"/>
    <col min="17" max="19" width="18.1171875" bestFit="1" customWidth="1"/>
    <col min="20" max="20" width="14.1171875" bestFit="1" customWidth="1"/>
    <col min="21" max="23" width="15.29296875" bestFit="1" customWidth="1"/>
    <col min="24" max="24" width="12.703125" bestFit="1" customWidth="1"/>
    <col min="25" max="27" width="14.1171875" bestFit="1" customWidth="1"/>
    <col min="28" max="29" width="12" bestFit="1" customWidth="1"/>
    <col min="30" max="32" width="13.29296875" bestFit="1" customWidth="1"/>
    <col min="33" max="33" width="12.703125" bestFit="1" customWidth="1"/>
    <col min="34" max="36" width="14.1171875" bestFit="1" customWidth="1"/>
    <col min="37" max="37" width="12.29296875" bestFit="1" customWidth="1"/>
    <col min="38" max="40" width="13.41015625" bestFit="1" customWidth="1"/>
    <col min="41" max="42" width="14.703125" bestFit="1" customWidth="1"/>
    <col min="43" max="45" width="15.703125" bestFit="1" customWidth="1"/>
    <col min="46" max="46" width="18.29296875" bestFit="1" customWidth="1"/>
    <col min="47" max="49" width="19.41015625" bestFit="1" customWidth="1"/>
    <col min="50" max="50" width="15.703125" bestFit="1" customWidth="1"/>
    <col min="51" max="54" width="16.703125" bestFit="1" customWidth="1"/>
    <col min="55" max="55" width="17.703125" bestFit="1" customWidth="1"/>
    <col min="56" max="58" width="18.703125" bestFit="1" customWidth="1"/>
    <col min="59" max="59" width="17.41015625" bestFit="1" customWidth="1"/>
    <col min="60" max="62" width="18.703125" bestFit="1" customWidth="1"/>
    <col min="63" max="64" width="15.703125" bestFit="1" customWidth="1"/>
    <col min="65" max="67" width="17" bestFit="1" customWidth="1"/>
    <col min="68" max="68" width="16.703125" bestFit="1" customWidth="1"/>
    <col min="69" max="71" width="18.1171875" bestFit="1" customWidth="1"/>
    <col min="72" max="72" width="14.1171875" bestFit="1" customWidth="1"/>
    <col min="73" max="75" width="15.29296875" bestFit="1" customWidth="1"/>
    <col min="76" max="76" width="12.703125" bestFit="1" customWidth="1"/>
    <col min="77" max="77" width="14.1171875" bestFit="1" customWidth="1"/>
  </cols>
  <sheetData>
    <row r="1" spans="1:77" s="44" customFormat="1" ht="25.5" customHeight="1" thickBot="1" x14ac:dyDescent="0.45">
      <c r="A1" s="348" t="str">
        <f>'Fixed Fee'!C9</f>
        <v>Employee Name</v>
      </c>
      <c r="B1" s="42">
        <f>'Fixed Fee'!K8</f>
        <v>43017</v>
      </c>
      <c r="C1" s="42">
        <f>'Fixed Fee'!L8</f>
        <v>43024</v>
      </c>
      <c r="D1" s="42">
        <f>'Fixed Fee'!M8</f>
        <v>43031</v>
      </c>
      <c r="E1" s="42">
        <f>'Fixed Fee'!N8</f>
        <v>43038</v>
      </c>
      <c r="F1" s="42">
        <f>'Fixed Fee'!O8</f>
        <v>43045</v>
      </c>
      <c r="G1" s="42">
        <f>'Fixed Fee'!P8</f>
        <v>43052</v>
      </c>
      <c r="H1" s="42">
        <f>'Fixed Fee'!Q8</f>
        <v>43059</v>
      </c>
      <c r="I1" s="42">
        <f>'Fixed Fee'!R8</f>
        <v>43066</v>
      </c>
      <c r="J1" s="42">
        <f>'Fixed Fee'!S8</f>
        <v>43073</v>
      </c>
      <c r="K1" s="42">
        <f>'Fixed Fee'!T8</f>
        <v>43080</v>
      </c>
      <c r="L1" s="42">
        <f>'Fixed Fee'!U8</f>
        <v>43087</v>
      </c>
      <c r="M1" s="42">
        <f>'Fixed Fee'!V8</f>
        <v>43094</v>
      </c>
      <c r="N1" s="42">
        <f>'Fixed Fee'!W8</f>
        <v>43101</v>
      </c>
      <c r="O1" s="42">
        <f>'Fixed Fee'!X8</f>
        <v>43108</v>
      </c>
      <c r="P1" s="42">
        <f>'Fixed Fee'!Y8</f>
        <v>43115</v>
      </c>
      <c r="Q1" s="42">
        <f>'Fixed Fee'!Z8</f>
        <v>43122</v>
      </c>
      <c r="R1" s="42">
        <f>'Fixed Fee'!AA8</f>
        <v>43129</v>
      </c>
      <c r="S1" s="42">
        <f>'Fixed Fee'!AB8</f>
        <v>43136</v>
      </c>
      <c r="T1" s="42">
        <f>'Fixed Fee'!AC8</f>
        <v>43143</v>
      </c>
      <c r="U1" s="42">
        <f>'Fixed Fee'!AD8</f>
        <v>43150</v>
      </c>
      <c r="V1" s="42">
        <f>'Fixed Fee'!AE8</f>
        <v>43157</v>
      </c>
      <c r="W1" s="42">
        <f>'Fixed Fee'!AF8</f>
        <v>43164</v>
      </c>
      <c r="X1" s="42">
        <f>'Fixed Fee'!AG8</f>
        <v>43171</v>
      </c>
      <c r="Y1" s="42">
        <f>'Fixed Fee'!AH8</f>
        <v>43178</v>
      </c>
      <c r="Z1" s="42">
        <f>'Fixed Fee'!AI8</f>
        <v>43185</v>
      </c>
      <c r="AA1" s="42">
        <f>'Fixed Fee'!AJ8</f>
        <v>43192</v>
      </c>
      <c r="AB1" s="42">
        <f>'Fixed Fee'!AK8</f>
        <v>43199</v>
      </c>
      <c r="AC1" s="42">
        <f>'Fixed Fee'!AL8</f>
        <v>43206</v>
      </c>
      <c r="AD1" s="42">
        <f>'Fixed Fee'!AM8</f>
        <v>43213</v>
      </c>
      <c r="AE1" s="42">
        <f>'Fixed Fee'!AN8</f>
        <v>43220</v>
      </c>
      <c r="AF1" s="42">
        <f>'Fixed Fee'!AO8</f>
        <v>43227</v>
      </c>
      <c r="AG1" s="42">
        <f>'Fixed Fee'!AP8</f>
        <v>43234</v>
      </c>
      <c r="AH1" s="42">
        <f>'Fixed Fee'!AQ8</f>
        <v>43241</v>
      </c>
      <c r="AI1" s="42">
        <f>'Fixed Fee'!AR8</f>
        <v>43248</v>
      </c>
      <c r="AJ1" s="42">
        <f>'Fixed Fee'!AS8</f>
        <v>43255</v>
      </c>
      <c r="AK1" s="42">
        <f>'Fixed Fee'!AT8</f>
        <v>43262</v>
      </c>
      <c r="AL1" s="42">
        <f>'Fixed Fee'!AU8</f>
        <v>43269</v>
      </c>
      <c r="AM1" s="42">
        <f>'Fixed Fee'!AV8</f>
        <v>43276</v>
      </c>
      <c r="AN1" s="42">
        <f>'Fixed Fee'!AW8</f>
        <v>43283</v>
      </c>
      <c r="AO1" s="42">
        <f>'Fixed Fee'!AX8</f>
        <v>43290</v>
      </c>
      <c r="AP1" s="42">
        <f>'Fixed Fee'!AY8</f>
        <v>43297</v>
      </c>
      <c r="AQ1" s="42">
        <f>'Fixed Fee'!AZ8</f>
        <v>43304</v>
      </c>
      <c r="AR1" s="42">
        <f>'Fixed Fee'!BA8</f>
        <v>43311</v>
      </c>
      <c r="AS1" s="42">
        <f>'Fixed Fee'!BB8</f>
        <v>43318</v>
      </c>
      <c r="AT1" s="42">
        <f>'Fixed Fee'!BC8</f>
        <v>43325</v>
      </c>
      <c r="AU1" s="42">
        <f>'Fixed Fee'!BD8</f>
        <v>43332</v>
      </c>
      <c r="AV1" s="42">
        <f>'Fixed Fee'!BE8</f>
        <v>43339</v>
      </c>
      <c r="AW1" s="42">
        <f>'Fixed Fee'!BF8</f>
        <v>43346</v>
      </c>
      <c r="AX1" s="42">
        <f>'Fixed Fee'!BG8</f>
        <v>43353</v>
      </c>
      <c r="AY1" s="42">
        <f>'Fixed Fee'!BH8</f>
        <v>43360</v>
      </c>
      <c r="AZ1" s="42">
        <f>'Fixed Fee'!BI8</f>
        <v>43367</v>
      </c>
      <c r="BA1" s="42">
        <f>'Fixed Fee'!BJ8</f>
        <v>43374</v>
      </c>
      <c r="BB1" s="42">
        <f>'Fixed Fee'!BK8</f>
        <v>43381</v>
      </c>
      <c r="BC1" s="42">
        <f>'Fixed Fee'!BL8</f>
        <v>43388</v>
      </c>
      <c r="BD1" s="42">
        <f>'Fixed Fee'!BM8</f>
        <v>43395</v>
      </c>
      <c r="BE1" s="42">
        <f>'Fixed Fee'!BN8</f>
        <v>43402</v>
      </c>
      <c r="BF1" s="42">
        <f>'Fixed Fee'!BO8</f>
        <v>43409</v>
      </c>
      <c r="BG1" s="42">
        <f>'Fixed Fee'!BP8</f>
        <v>43416</v>
      </c>
      <c r="BH1" s="42">
        <f>'Fixed Fee'!BQ8</f>
        <v>43423</v>
      </c>
      <c r="BI1" s="42">
        <f>'Fixed Fee'!BR8</f>
        <v>43430</v>
      </c>
      <c r="BJ1" s="42">
        <f>'Fixed Fee'!BS8</f>
        <v>43437</v>
      </c>
      <c r="BK1" s="42">
        <f>'Fixed Fee'!BT8</f>
        <v>43444</v>
      </c>
      <c r="BL1" s="42">
        <f>'Fixed Fee'!BU8</f>
        <v>43451</v>
      </c>
      <c r="BM1" s="42">
        <f>'Fixed Fee'!BV8</f>
        <v>43458</v>
      </c>
      <c r="BN1" s="42">
        <f>'Fixed Fee'!BW8</f>
        <v>43465</v>
      </c>
      <c r="BO1" s="42">
        <f>'Fixed Fee'!BX8</f>
        <v>43472</v>
      </c>
      <c r="BP1" s="42">
        <f>'Fixed Fee'!BY8</f>
        <v>43479</v>
      </c>
      <c r="BQ1" s="42">
        <f>'Fixed Fee'!BZ8</f>
        <v>43486</v>
      </c>
      <c r="BR1" s="42">
        <f>'Fixed Fee'!CA8</f>
        <v>43493</v>
      </c>
      <c r="BS1" s="42">
        <f>'Fixed Fee'!CB8</f>
        <v>43500</v>
      </c>
      <c r="BT1" s="42">
        <f>'Fixed Fee'!CC8</f>
        <v>43507</v>
      </c>
      <c r="BU1" s="42">
        <f>'Fixed Fee'!CD8</f>
        <v>43514</v>
      </c>
      <c r="BV1" s="42">
        <f>'Fixed Fee'!CE8</f>
        <v>43521</v>
      </c>
      <c r="BW1" s="42">
        <f>'Fixed Fee'!CF8</f>
        <v>43528</v>
      </c>
      <c r="BX1" s="42">
        <f>'Fixed Fee'!CG8</f>
        <v>43535</v>
      </c>
      <c r="BY1" s="42">
        <f>'Fixed Fee'!CH8</f>
        <v>43542</v>
      </c>
    </row>
    <row r="2" spans="1:77" s="44" customFormat="1" ht="13.5" customHeight="1" thickBot="1" x14ac:dyDescent="0.45">
      <c r="A2" s="349"/>
      <c r="B2" s="42" t="str">
        <f>'Fixed Fee'!K9</f>
        <v>Week 1</v>
      </c>
      <c r="C2" s="42" t="str">
        <f>'Fixed Fee'!L9</f>
        <v>Week 2</v>
      </c>
      <c r="D2" s="42" t="str">
        <f>'Fixed Fee'!M9</f>
        <v>Week 3</v>
      </c>
      <c r="E2" s="42" t="str">
        <f>'Fixed Fee'!N9</f>
        <v>Week 4</v>
      </c>
      <c r="F2" s="42" t="str">
        <f>'Fixed Fee'!O9</f>
        <v>Week 5</v>
      </c>
      <c r="G2" s="42" t="str">
        <f>'Fixed Fee'!P9</f>
        <v>Week 6</v>
      </c>
      <c r="H2" s="42" t="str">
        <f>'Fixed Fee'!Q9</f>
        <v>Week 7</v>
      </c>
      <c r="I2" s="42" t="str">
        <f>'Fixed Fee'!R9</f>
        <v>Week 8</v>
      </c>
      <c r="J2" s="42" t="str">
        <f>'Fixed Fee'!S9</f>
        <v>Week 9</v>
      </c>
      <c r="K2" s="42" t="str">
        <f>'Fixed Fee'!T9</f>
        <v>Week 10</v>
      </c>
      <c r="L2" s="42" t="str">
        <f>'Fixed Fee'!U9</f>
        <v>Week 11</v>
      </c>
      <c r="M2" s="42" t="str">
        <f>'Fixed Fee'!V9</f>
        <v>Week 12</v>
      </c>
      <c r="N2" s="42" t="str">
        <f>'Fixed Fee'!W9</f>
        <v>Week 13</v>
      </c>
      <c r="O2" s="42" t="str">
        <f>'Fixed Fee'!X9</f>
        <v>Week 14</v>
      </c>
      <c r="P2" s="42" t="str">
        <f>'Fixed Fee'!Y9</f>
        <v>Week 15</v>
      </c>
      <c r="Q2" s="42" t="str">
        <f>'Fixed Fee'!Z9</f>
        <v>Week 16</v>
      </c>
      <c r="R2" s="42" t="str">
        <f>'Fixed Fee'!AA9</f>
        <v>Week 17</v>
      </c>
      <c r="S2" s="42" t="str">
        <f>'Fixed Fee'!AB9</f>
        <v>Week 18</v>
      </c>
      <c r="T2" s="42" t="str">
        <f>'Fixed Fee'!AC9</f>
        <v>Week 19</v>
      </c>
      <c r="U2" s="42" t="str">
        <f>'Fixed Fee'!AD9</f>
        <v>Week 20</v>
      </c>
      <c r="V2" s="42" t="str">
        <f>'Fixed Fee'!AE9</f>
        <v>Week 21</v>
      </c>
      <c r="W2" s="42" t="str">
        <f>'Fixed Fee'!AF9</f>
        <v>Week 22</v>
      </c>
      <c r="X2" s="42" t="str">
        <f>'Fixed Fee'!AG9</f>
        <v>Week 23</v>
      </c>
      <c r="Y2" s="42" t="str">
        <f>'Fixed Fee'!AH9</f>
        <v>Week 24</v>
      </c>
      <c r="Z2" s="42" t="str">
        <f>'Fixed Fee'!AI9</f>
        <v>Week 25</v>
      </c>
      <c r="AA2" s="42" t="str">
        <f>'Fixed Fee'!AJ9</f>
        <v>Week 26</v>
      </c>
      <c r="AB2" s="42" t="str">
        <f>'Fixed Fee'!AK9</f>
        <v>Week 27</v>
      </c>
      <c r="AC2" s="42" t="str">
        <f>'Fixed Fee'!AL9</f>
        <v>Week 28</v>
      </c>
      <c r="AD2" s="42" t="str">
        <f>'Fixed Fee'!AM9</f>
        <v>Week 29</v>
      </c>
      <c r="AE2" s="42" t="str">
        <f>'Fixed Fee'!AN9</f>
        <v>Week 30</v>
      </c>
      <c r="AF2" s="42" t="str">
        <f>'Fixed Fee'!AO9</f>
        <v>Week 31</v>
      </c>
      <c r="AG2" s="42" t="str">
        <f>'Fixed Fee'!AP9</f>
        <v>Week 32</v>
      </c>
      <c r="AH2" s="42" t="str">
        <f>'Fixed Fee'!AQ9</f>
        <v>Week 33</v>
      </c>
      <c r="AI2" s="42" t="str">
        <f>'Fixed Fee'!AR9</f>
        <v>Week 34</v>
      </c>
      <c r="AJ2" s="42" t="str">
        <f>'Fixed Fee'!AS9</f>
        <v>Week 35</v>
      </c>
      <c r="AK2" s="42" t="str">
        <f>'Fixed Fee'!AT9</f>
        <v>Week 36</v>
      </c>
      <c r="AL2" s="42" t="str">
        <f>'Fixed Fee'!AU9</f>
        <v>Week 37</v>
      </c>
      <c r="AM2" s="42" t="str">
        <f>'Fixed Fee'!AV9</f>
        <v>Week 38</v>
      </c>
      <c r="AN2" s="42" t="str">
        <f>'Fixed Fee'!AW9</f>
        <v>Week 39</v>
      </c>
      <c r="AO2" s="42" t="str">
        <f>'Fixed Fee'!AX9</f>
        <v>Week 40</v>
      </c>
      <c r="AP2" s="42" t="str">
        <f>'Fixed Fee'!AY9</f>
        <v>Week 41</v>
      </c>
      <c r="AQ2" s="42" t="str">
        <f>'Fixed Fee'!AZ9</f>
        <v>Week 42</v>
      </c>
      <c r="AR2" s="42" t="str">
        <f>'Fixed Fee'!BA9</f>
        <v>Week 43</v>
      </c>
      <c r="AS2" s="42" t="str">
        <f>'Fixed Fee'!BB9</f>
        <v>Week 44</v>
      </c>
      <c r="AT2" s="42" t="str">
        <f>'Fixed Fee'!BC9</f>
        <v>Week 45</v>
      </c>
      <c r="AU2" s="42" t="str">
        <f>'Fixed Fee'!BD9</f>
        <v>Week 46</v>
      </c>
      <c r="AV2" s="42" t="str">
        <f>'Fixed Fee'!BE9</f>
        <v>Week 47</v>
      </c>
      <c r="AW2" s="42" t="str">
        <f>'Fixed Fee'!BF9</f>
        <v>Week 48</v>
      </c>
      <c r="AX2" s="42" t="str">
        <f>'Fixed Fee'!BG9</f>
        <v>Week 49</v>
      </c>
      <c r="AY2" s="42" t="str">
        <f>'Fixed Fee'!BH9</f>
        <v>Week 50</v>
      </c>
      <c r="AZ2" s="42" t="str">
        <f>'Fixed Fee'!BI9</f>
        <v>Week 51</v>
      </c>
      <c r="BA2" s="42" t="str">
        <f>'Fixed Fee'!BJ9</f>
        <v>Week 52</v>
      </c>
      <c r="BB2" s="42" t="str">
        <f>'Fixed Fee'!BK9</f>
        <v>Week 53</v>
      </c>
      <c r="BC2" s="42" t="str">
        <f>'Fixed Fee'!BL9</f>
        <v>Week 54</v>
      </c>
      <c r="BD2" s="42" t="str">
        <f>'Fixed Fee'!BM9</f>
        <v>Week 55</v>
      </c>
      <c r="BE2" s="42" t="str">
        <f>'Fixed Fee'!BN9</f>
        <v>Week 56</v>
      </c>
      <c r="BF2" s="42" t="str">
        <f>'Fixed Fee'!BO9</f>
        <v>Week 57</v>
      </c>
      <c r="BG2" s="42" t="str">
        <f>'Fixed Fee'!BP9</f>
        <v>Week 58</v>
      </c>
      <c r="BH2" s="42" t="str">
        <f>'Fixed Fee'!BQ9</f>
        <v>Week 59</v>
      </c>
      <c r="BI2" s="42" t="str">
        <f>'Fixed Fee'!BR9</f>
        <v>Week 60</v>
      </c>
      <c r="BJ2" s="42" t="str">
        <f>'Fixed Fee'!BS9</f>
        <v>Week 61</v>
      </c>
      <c r="BK2" s="42" t="str">
        <f>'Fixed Fee'!BT9</f>
        <v>Week 62</v>
      </c>
      <c r="BL2" s="42" t="str">
        <f>'Fixed Fee'!BU9</f>
        <v>Week 63</v>
      </c>
      <c r="BM2" s="42" t="str">
        <f>'Fixed Fee'!BV9</f>
        <v>Week 64</v>
      </c>
      <c r="BN2" s="42" t="str">
        <f>'Fixed Fee'!BW9</f>
        <v>Week 65</v>
      </c>
      <c r="BO2" s="42" t="str">
        <f>'Fixed Fee'!BX9</f>
        <v>Week 66</v>
      </c>
      <c r="BP2" s="42" t="str">
        <f>'Fixed Fee'!BY9</f>
        <v>Week 67</v>
      </c>
      <c r="BQ2" s="42" t="str">
        <f>'Fixed Fee'!BZ9</f>
        <v>Week 68</v>
      </c>
      <c r="BR2" s="42" t="str">
        <f>'Fixed Fee'!CA9</f>
        <v>Week 69</v>
      </c>
      <c r="BS2" s="42" t="str">
        <f>'Fixed Fee'!CB9</f>
        <v>Week 70</v>
      </c>
      <c r="BT2" s="42" t="str">
        <f>'Fixed Fee'!CC9</f>
        <v>Week 71</v>
      </c>
      <c r="BU2" s="42" t="str">
        <f>'Fixed Fee'!CD9</f>
        <v>Week 72</v>
      </c>
      <c r="BV2" s="42" t="str">
        <f>'Fixed Fee'!CE9</f>
        <v>Week 73</v>
      </c>
      <c r="BW2" s="42" t="str">
        <f>'Fixed Fee'!CF9</f>
        <v>Week 74</v>
      </c>
      <c r="BX2" s="42" t="str">
        <f>'Fixed Fee'!CG9</f>
        <v>Week 75</v>
      </c>
      <c r="BY2" s="42" t="str">
        <f>'Fixed Fee'!CH9</f>
        <v>Week 76</v>
      </c>
    </row>
    <row r="3" spans="1:77" s="43" customFormat="1" ht="13" x14ac:dyDescent="0.45">
      <c r="A3" s="46" t="str">
        <f>'Fixed Fee'!C11</f>
        <v>Broekhof, Mick</v>
      </c>
      <c r="B3" s="53">
        <f>'Fixed Fee'!K11*9</f>
        <v>9</v>
      </c>
      <c r="C3" s="53">
        <f>'Fixed Fee'!L11*9</f>
        <v>9</v>
      </c>
      <c r="D3" s="53">
        <f>'Fixed Fee'!M11*9</f>
        <v>9</v>
      </c>
      <c r="E3" s="53">
        <f>'Fixed Fee'!N11*9</f>
        <v>9</v>
      </c>
      <c r="F3" s="53">
        <f>'Fixed Fee'!O11*9</f>
        <v>9</v>
      </c>
      <c r="G3" s="53">
        <f>'Fixed Fee'!P11*9</f>
        <v>9</v>
      </c>
      <c r="H3" s="53">
        <f>'Fixed Fee'!Q11*9</f>
        <v>9</v>
      </c>
      <c r="I3" s="53">
        <f>'Fixed Fee'!R11*9</f>
        <v>9</v>
      </c>
      <c r="J3" s="53">
        <f>'Fixed Fee'!S11*9</f>
        <v>9</v>
      </c>
      <c r="K3" s="53">
        <f>'Fixed Fee'!T11*9</f>
        <v>9</v>
      </c>
      <c r="L3" s="53">
        <f>'Fixed Fee'!U11*9</f>
        <v>9</v>
      </c>
      <c r="M3" s="53">
        <f>'Fixed Fee'!V11*9</f>
        <v>0</v>
      </c>
      <c r="N3" s="53">
        <f>'Fixed Fee'!W11*9</f>
        <v>0</v>
      </c>
      <c r="O3" s="53">
        <f>'Fixed Fee'!X11*9</f>
        <v>9</v>
      </c>
      <c r="P3" s="53">
        <f>'Fixed Fee'!Y11*9</f>
        <v>9</v>
      </c>
      <c r="Q3" s="53">
        <f>'Fixed Fee'!Z11*9</f>
        <v>9</v>
      </c>
      <c r="R3" s="53">
        <f>'Fixed Fee'!AA11*9</f>
        <v>9</v>
      </c>
      <c r="S3" s="53">
        <f>'Fixed Fee'!AB11*9</f>
        <v>0</v>
      </c>
      <c r="T3" s="53">
        <f>'Fixed Fee'!AC11*9</f>
        <v>0</v>
      </c>
      <c r="U3" s="53">
        <f>'Fixed Fee'!AD11*9</f>
        <v>0</v>
      </c>
      <c r="V3" s="53">
        <f>'Fixed Fee'!AE11*9</f>
        <v>0</v>
      </c>
      <c r="W3" s="53">
        <f>'Fixed Fee'!AF11*9</f>
        <v>0</v>
      </c>
      <c r="X3" s="53">
        <f>'Fixed Fee'!AG11*9</f>
        <v>0</v>
      </c>
      <c r="Y3" s="53">
        <f>'Fixed Fee'!AH11*9</f>
        <v>0</v>
      </c>
      <c r="Z3" s="53">
        <f>'Fixed Fee'!AI11*9</f>
        <v>0</v>
      </c>
      <c r="AA3" s="53">
        <f>'Fixed Fee'!AJ11*9</f>
        <v>0</v>
      </c>
      <c r="AB3" s="53">
        <f>'Fixed Fee'!AK11*9</f>
        <v>0</v>
      </c>
      <c r="AC3" s="53">
        <f>'Fixed Fee'!AL11*9</f>
        <v>0</v>
      </c>
      <c r="AD3" s="53">
        <f>'Fixed Fee'!AM11*9</f>
        <v>0</v>
      </c>
      <c r="AE3" s="53">
        <f>'Fixed Fee'!AN11*9</f>
        <v>0</v>
      </c>
      <c r="AF3" s="53">
        <f>'Fixed Fee'!AO11*9</f>
        <v>0</v>
      </c>
      <c r="AG3" s="53">
        <f>'Fixed Fee'!AP11*9</f>
        <v>0</v>
      </c>
      <c r="AH3" s="53">
        <f>'Fixed Fee'!AQ11*9</f>
        <v>0</v>
      </c>
      <c r="AI3" s="53">
        <f>'Fixed Fee'!AR11*9</f>
        <v>0</v>
      </c>
      <c r="AJ3" s="53">
        <f>'Fixed Fee'!AS11*9</f>
        <v>0</v>
      </c>
      <c r="AK3" s="53">
        <f>'Fixed Fee'!AT11*9</f>
        <v>0</v>
      </c>
      <c r="AL3" s="53">
        <f>'Fixed Fee'!AU11*9</f>
        <v>0</v>
      </c>
      <c r="AM3" s="53">
        <f>'Fixed Fee'!AV11*9</f>
        <v>0</v>
      </c>
      <c r="AN3" s="53">
        <f>'Fixed Fee'!AW11*9</f>
        <v>0</v>
      </c>
      <c r="AO3" s="53">
        <f>'Fixed Fee'!AX11*9</f>
        <v>0</v>
      </c>
      <c r="AP3" s="53">
        <f>'Fixed Fee'!AY11*9</f>
        <v>0</v>
      </c>
      <c r="AQ3" s="53">
        <f>'Fixed Fee'!AZ11*9</f>
        <v>0</v>
      </c>
      <c r="AR3" s="53">
        <f>'Fixed Fee'!BA11*9</f>
        <v>0</v>
      </c>
      <c r="AS3" s="53">
        <f>'Fixed Fee'!BB11*9</f>
        <v>0</v>
      </c>
      <c r="AT3" s="53">
        <f>'Fixed Fee'!BC11*9</f>
        <v>0</v>
      </c>
      <c r="AU3" s="53">
        <f>'Fixed Fee'!BD11*9</f>
        <v>0</v>
      </c>
      <c r="AV3" s="53">
        <f>'Fixed Fee'!BE11*9</f>
        <v>0</v>
      </c>
      <c r="AW3" s="53">
        <f>'Fixed Fee'!BF11*9</f>
        <v>0</v>
      </c>
      <c r="AX3" s="53">
        <f>'Fixed Fee'!BG11*9</f>
        <v>0</v>
      </c>
      <c r="AY3" s="53">
        <f>'Fixed Fee'!BH11*9</f>
        <v>0</v>
      </c>
      <c r="AZ3" s="53">
        <f>'Fixed Fee'!BI11*9</f>
        <v>0</v>
      </c>
      <c r="BA3" s="53">
        <f>'Fixed Fee'!BJ11*9</f>
        <v>0</v>
      </c>
      <c r="BB3" s="53">
        <f>'Fixed Fee'!BK11*9</f>
        <v>0</v>
      </c>
      <c r="BC3" s="53">
        <f>'Fixed Fee'!BL11*9</f>
        <v>0</v>
      </c>
      <c r="BD3" s="53">
        <f>'Fixed Fee'!BM11*9</f>
        <v>0</v>
      </c>
      <c r="BE3" s="53">
        <f>'Fixed Fee'!BN11*9</f>
        <v>0</v>
      </c>
      <c r="BF3" s="53">
        <f>'Fixed Fee'!BO11*9</f>
        <v>0</v>
      </c>
      <c r="BG3" s="53">
        <f>'Fixed Fee'!BP11*9</f>
        <v>0</v>
      </c>
      <c r="BH3" s="53">
        <f>'Fixed Fee'!BQ11*9</f>
        <v>0</v>
      </c>
      <c r="BI3" s="53">
        <f>'Fixed Fee'!BR11*9</f>
        <v>0</v>
      </c>
      <c r="BJ3" s="53">
        <f>'Fixed Fee'!BS11*9</f>
        <v>0</v>
      </c>
      <c r="BK3" s="53">
        <f>'Fixed Fee'!BT11*9</f>
        <v>0</v>
      </c>
      <c r="BL3" s="53">
        <f>'Fixed Fee'!BU11*9</f>
        <v>0</v>
      </c>
      <c r="BM3" s="53">
        <f>'Fixed Fee'!BV11*9</f>
        <v>0</v>
      </c>
      <c r="BN3" s="53">
        <f>'Fixed Fee'!BW11*9</f>
        <v>0</v>
      </c>
      <c r="BO3" s="53">
        <f>'Fixed Fee'!BX11*9</f>
        <v>0</v>
      </c>
      <c r="BP3" s="53">
        <f>'Fixed Fee'!BY11*9</f>
        <v>0</v>
      </c>
      <c r="BQ3" s="53">
        <f>'Fixed Fee'!BZ11*9</f>
        <v>0</v>
      </c>
      <c r="BR3" s="53">
        <f>'Fixed Fee'!CA11*9</f>
        <v>0</v>
      </c>
      <c r="BS3" s="53">
        <f>'Fixed Fee'!CB11*9</f>
        <v>0</v>
      </c>
      <c r="BT3" s="53">
        <f>'Fixed Fee'!CC11*9</f>
        <v>0</v>
      </c>
      <c r="BU3" s="53">
        <f>'Fixed Fee'!CD11*9</f>
        <v>0</v>
      </c>
      <c r="BV3" s="53">
        <f>'Fixed Fee'!CE11*9</f>
        <v>0</v>
      </c>
      <c r="BW3" s="53">
        <f>'Fixed Fee'!CF11*9</f>
        <v>0</v>
      </c>
      <c r="BX3" s="53">
        <f>'Fixed Fee'!CG11*9</f>
        <v>0</v>
      </c>
      <c r="BY3" s="53">
        <f>'Fixed Fee'!CH11*9</f>
        <v>0</v>
      </c>
    </row>
    <row r="4" spans="1:77" s="43" customFormat="1" ht="13" x14ac:dyDescent="0.45">
      <c r="A4" s="46" t="str">
        <f>'Fixed Fee'!C12</f>
        <v>Dury, Joe</v>
      </c>
      <c r="B4" s="53">
        <f>'Fixed Fee'!K12*9</f>
        <v>27</v>
      </c>
      <c r="C4" s="53">
        <f>'Fixed Fee'!L12*9</f>
        <v>27</v>
      </c>
      <c r="D4" s="53">
        <f>'Fixed Fee'!M12*9</f>
        <v>27</v>
      </c>
      <c r="E4" s="53">
        <f>'Fixed Fee'!N12*9</f>
        <v>27</v>
      </c>
      <c r="F4" s="53">
        <f>'Fixed Fee'!O12*9</f>
        <v>27</v>
      </c>
      <c r="G4" s="53">
        <f>'Fixed Fee'!P12*9</f>
        <v>27</v>
      </c>
      <c r="H4" s="53">
        <f>'Fixed Fee'!Q12*9</f>
        <v>27</v>
      </c>
      <c r="I4" s="53">
        <f>'Fixed Fee'!R12*9</f>
        <v>18</v>
      </c>
      <c r="J4" s="53">
        <f>'Fixed Fee'!S12*9</f>
        <v>18</v>
      </c>
      <c r="K4" s="53">
        <f>'Fixed Fee'!T12*9</f>
        <v>18</v>
      </c>
      <c r="L4" s="53">
        <f>'Fixed Fee'!U12*9</f>
        <v>18</v>
      </c>
      <c r="M4" s="53">
        <f>'Fixed Fee'!V12*9</f>
        <v>0</v>
      </c>
      <c r="N4" s="53">
        <f>'Fixed Fee'!W12*9</f>
        <v>0</v>
      </c>
      <c r="O4" s="53">
        <f>'Fixed Fee'!X12*9</f>
        <v>18</v>
      </c>
      <c r="P4" s="53">
        <f>'Fixed Fee'!Y12*9</f>
        <v>18</v>
      </c>
      <c r="Q4" s="53">
        <f>'Fixed Fee'!Z12*9</f>
        <v>18</v>
      </c>
      <c r="R4" s="53">
        <f>'Fixed Fee'!AA12*9</f>
        <v>18</v>
      </c>
      <c r="S4" s="53">
        <f>'Fixed Fee'!AB12*9</f>
        <v>0</v>
      </c>
      <c r="T4" s="53">
        <f>'Fixed Fee'!AC12*9</f>
        <v>0</v>
      </c>
      <c r="U4" s="53">
        <f>'Fixed Fee'!AD12*9</f>
        <v>0</v>
      </c>
      <c r="V4" s="53">
        <f>'Fixed Fee'!AE12*9</f>
        <v>0</v>
      </c>
      <c r="W4" s="53">
        <f>'Fixed Fee'!AF12*9</f>
        <v>0</v>
      </c>
      <c r="X4" s="53">
        <f>'Fixed Fee'!AG12*9</f>
        <v>0</v>
      </c>
      <c r="Y4" s="53">
        <f>'Fixed Fee'!AH12*9</f>
        <v>0</v>
      </c>
      <c r="Z4" s="53">
        <f>'Fixed Fee'!AI12*9</f>
        <v>0</v>
      </c>
      <c r="AA4" s="53">
        <f>'Fixed Fee'!AJ12*9</f>
        <v>0</v>
      </c>
      <c r="AB4" s="53">
        <f>'Fixed Fee'!AK12*9</f>
        <v>0</v>
      </c>
      <c r="AC4" s="53">
        <f>'Fixed Fee'!AL12*9</f>
        <v>0</v>
      </c>
      <c r="AD4" s="53">
        <f>'Fixed Fee'!AM12*9</f>
        <v>0</v>
      </c>
      <c r="AE4" s="53">
        <f>'Fixed Fee'!AN12*9</f>
        <v>0</v>
      </c>
      <c r="AF4" s="53">
        <f>'Fixed Fee'!AO12*9</f>
        <v>0</v>
      </c>
      <c r="AG4" s="53">
        <f>'Fixed Fee'!AP12*9</f>
        <v>0</v>
      </c>
      <c r="AH4" s="53">
        <f>'Fixed Fee'!AQ12*9</f>
        <v>0</v>
      </c>
      <c r="AI4" s="53">
        <f>'Fixed Fee'!AR12*9</f>
        <v>0</v>
      </c>
      <c r="AJ4" s="53">
        <f>'Fixed Fee'!AS12*9</f>
        <v>0</v>
      </c>
      <c r="AK4" s="53">
        <f>'Fixed Fee'!AT12*9</f>
        <v>0</v>
      </c>
      <c r="AL4" s="53">
        <f>'Fixed Fee'!AU12*9</f>
        <v>0</v>
      </c>
      <c r="AM4" s="53">
        <f>'Fixed Fee'!AV12*9</f>
        <v>0</v>
      </c>
      <c r="AN4" s="53">
        <f>'Fixed Fee'!AW12*9</f>
        <v>0</v>
      </c>
      <c r="AO4" s="53">
        <f>'Fixed Fee'!AX12*9</f>
        <v>0</v>
      </c>
      <c r="AP4" s="53">
        <f>'Fixed Fee'!AY12*9</f>
        <v>0</v>
      </c>
      <c r="AQ4" s="53">
        <f>'Fixed Fee'!AZ12*9</f>
        <v>0</v>
      </c>
      <c r="AR4" s="53">
        <f>'Fixed Fee'!BA12*9</f>
        <v>0</v>
      </c>
      <c r="AS4" s="53">
        <f>'Fixed Fee'!BB12*9</f>
        <v>0</v>
      </c>
      <c r="AT4" s="53">
        <f>'Fixed Fee'!BC12*9</f>
        <v>0</v>
      </c>
      <c r="AU4" s="53">
        <f>'Fixed Fee'!BD12*9</f>
        <v>0</v>
      </c>
      <c r="AV4" s="53">
        <f>'Fixed Fee'!BE12*9</f>
        <v>0</v>
      </c>
      <c r="AW4" s="53">
        <f>'Fixed Fee'!BF12*9</f>
        <v>0</v>
      </c>
      <c r="AX4" s="53">
        <f>'Fixed Fee'!BG12*9</f>
        <v>0</v>
      </c>
      <c r="AY4" s="53">
        <f>'Fixed Fee'!BH12*9</f>
        <v>0</v>
      </c>
      <c r="AZ4" s="53">
        <f>'Fixed Fee'!BI12*9</f>
        <v>0</v>
      </c>
      <c r="BA4" s="53">
        <f>'Fixed Fee'!BJ12*9</f>
        <v>0</v>
      </c>
      <c r="BB4" s="53">
        <f>'Fixed Fee'!BK12*9</f>
        <v>0</v>
      </c>
      <c r="BC4" s="53">
        <f>'Fixed Fee'!BL12*9</f>
        <v>0</v>
      </c>
      <c r="BD4" s="53">
        <f>'Fixed Fee'!BM12*9</f>
        <v>0</v>
      </c>
      <c r="BE4" s="53">
        <f>'Fixed Fee'!BN12*9</f>
        <v>0</v>
      </c>
      <c r="BF4" s="53">
        <f>'Fixed Fee'!BO12*9</f>
        <v>0</v>
      </c>
      <c r="BG4" s="53">
        <f>'Fixed Fee'!BP12*9</f>
        <v>0</v>
      </c>
      <c r="BH4" s="53">
        <f>'Fixed Fee'!BQ12*9</f>
        <v>0</v>
      </c>
      <c r="BI4" s="53">
        <f>'Fixed Fee'!BR12*9</f>
        <v>0</v>
      </c>
      <c r="BJ4" s="53">
        <f>'Fixed Fee'!BS12*9</f>
        <v>0</v>
      </c>
      <c r="BK4" s="53">
        <f>'Fixed Fee'!BT12*9</f>
        <v>0</v>
      </c>
      <c r="BL4" s="53">
        <f>'Fixed Fee'!BU12*9</f>
        <v>0</v>
      </c>
      <c r="BM4" s="53">
        <f>'Fixed Fee'!BV12*9</f>
        <v>0</v>
      </c>
      <c r="BN4" s="53">
        <f>'Fixed Fee'!BW12*9</f>
        <v>0</v>
      </c>
      <c r="BO4" s="53">
        <f>'Fixed Fee'!BX12*9</f>
        <v>0</v>
      </c>
      <c r="BP4" s="53">
        <f>'Fixed Fee'!BY12*9</f>
        <v>0</v>
      </c>
      <c r="BQ4" s="53">
        <f>'Fixed Fee'!BZ12*9</f>
        <v>0</v>
      </c>
      <c r="BR4" s="53">
        <f>'Fixed Fee'!CA12*9</f>
        <v>0</v>
      </c>
      <c r="BS4" s="53">
        <f>'Fixed Fee'!CB12*9</f>
        <v>0</v>
      </c>
      <c r="BT4" s="53">
        <f>'Fixed Fee'!CC12*9</f>
        <v>0</v>
      </c>
      <c r="BU4" s="53">
        <f>'Fixed Fee'!CD12*9</f>
        <v>0</v>
      </c>
      <c r="BV4" s="53">
        <f>'Fixed Fee'!CE12*9</f>
        <v>0</v>
      </c>
      <c r="BW4" s="53">
        <f>'Fixed Fee'!CF12*9</f>
        <v>0</v>
      </c>
      <c r="BX4" s="53">
        <f>'Fixed Fee'!CG12*9</f>
        <v>0</v>
      </c>
      <c r="BY4" s="53">
        <f>'Fixed Fee'!CH12*9</f>
        <v>0</v>
      </c>
    </row>
    <row r="5" spans="1:77" s="43" customFormat="1" ht="13" x14ac:dyDescent="0.45">
      <c r="A5" s="46" t="str">
        <f>'Fixed Fee'!C13</f>
        <v>Bedwell, Devin</v>
      </c>
      <c r="B5" s="53">
        <f>'Fixed Fee'!K13*9</f>
        <v>45</v>
      </c>
      <c r="C5" s="53">
        <f>'Fixed Fee'!L13*9</f>
        <v>45</v>
      </c>
      <c r="D5" s="53">
        <f>'Fixed Fee'!M13*9</f>
        <v>45</v>
      </c>
      <c r="E5" s="53">
        <f>'Fixed Fee'!N13*9</f>
        <v>45</v>
      </c>
      <c r="F5" s="53">
        <f>'Fixed Fee'!O13*9</f>
        <v>45</v>
      </c>
      <c r="G5" s="53">
        <f>'Fixed Fee'!P13*9</f>
        <v>45</v>
      </c>
      <c r="H5" s="53">
        <f>'Fixed Fee'!Q13*9</f>
        <v>45</v>
      </c>
      <c r="I5" s="53">
        <f>'Fixed Fee'!R13*9</f>
        <v>45</v>
      </c>
      <c r="J5" s="53">
        <f>'Fixed Fee'!S13*9</f>
        <v>45</v>
      </c>
      <c r="K5" s="53">
        <f>'Fixed Fee'!T13*9</f>
        <v>45</v>
      </c>
      <c r="L5" s="53">
        <f>'Fixed Fee'!U13*9</f>
        <v>45</v>
      </c>
      <c r="M5" s="53">
        <f>'Fixed Fee'!V13*9</f>
        <v>0</v>
      </c>
      <c r="N5" s="53">
        <f>'Fixed Fee'!W13*9</f>
        <v>0</v>
      </c>
      <c r="O5" s="53">
        <f>'Fixed Fee'!X13*9</f>
        <v>45</v>
      </c>
      <c r="P5" s="53">
        <f>'Fixed Fee'!Y13*9</f>
        <v>45</v>
      </c>
      <c r="Q5" s="53">
        <f>'Fixed Fee'!Z13*9</f>
        <v>45</v>
      </c>
      <c r="R5" s="53">
        <f>'Fixed Fee'!AA13*9</f>
        <v>45</v>
      </c>
      <c r="S5" s="53">
        <f>'Fixed Fee'!AB13*9</f>
        <v>0</v>
      </c>
      <c r="T5" s="53">
        <f>'Fixed Fee'!AC13*9</f>
        <v>0</v>
      </c>
      <c r="U5" s="53">
        <f>'Fixed Fee'!AD13*9</f>
        <v>0</v>
      </c>
      <c r="V5" s="53">
        <f>'Fixed Fee'!AE13*9</f>
        <v>0</v>
      </c>
      <c r="W5" s="53">
        <f>'Fixed Fee'!AF13*9</f>
        <v>0</v>
      </c>
      <c r="X5" s="53">
        <f>'Fixed Fee'!AG13*9</f>
        <v>0</v>
      </c>
      <c r="Y5" s="53">
        <f>'Fixed Fee'!AH13*9</f>
        <v>0</v>
      </c>
      <c r="Z5" s="53">
        <f>'Fixed Fee'!AI13*9</f>
        <v>0</v>
      </c>
      <c r="AA5" s="53">
        <f>'Fixed Fee'!AJ13*9</f>
        <v>0</v>
      </c>
      <c r="AB5" s="53">
        <f>'Fixed Fee'!AK13*9</f>
        <v>0</v>
      </c>
      <c r="AC5" s="53">
        <f>'Fixed Fee'!AL13*9</f>
        <v>0</v>
      </c>
      <c r="AD5" s="53">
        <f>'Fixed Fee'!AM13*9</f>
        <v>0</v>
      </c>
      <c r="AE5" s="53">
        <f>'Fixed Fee'!AN13*9</f>
        <v>0</v>
      </c>
      <c r="AF5" s="53">
        <f>'Fixed Fee'!AO13*9</f>
        <v>0</v>
      </c>
      <c r="AG5" s="53">
        <f>'Fixed Fee'!AP13*9</f>
        <v>0</v>
      </c>
      <c r="AH5" s="53">
        <f>'Fixed Fee'!AQ13*9</f>
        <v>0</v>
      </c>
      <c r="AI5" s="53">
        <f>'Fixed Fee'!AR13*9</f>
        <v>0</v>
      </c>
      <c r="AJ5" s="53">
        <f>'Fixed Fee'!AS13*9</f>
        <v>0</v>
      </c>
      <c r="AK5" s="53">
        <f>'Fixed Fee'!AT13*9</f>
        <v>0</v>
      </c>
      <c r="AL5" s="53">
        <f>'Fixed Fee'!AU13*9</f>
        <v>0</v>
      </c>
      <c r="AM5" s="53">
        <f>'Fixed Fee'!AV13*9</f>
        <v>0</v>
      </c>
      <c r="AN5" s="53">
        <f>'Fixed Fee'!AW13*9</f>
        <v>0</v>
      </c>
      <c r="AO5" s="53">
        <f>'Fixed Fee'!AX13*9</f>
        <v>0</v>
      </c>
      <c r="AP5" s="53">
        <f>'Fixed Fee'!AY13*9</f>
        <v>0</v>
      </c>
      <c r="AQ5" s="53">
        <f>'Fixed Fee'!AZ13*9</f>
        <v>0</v>
      </c>
      <c r="AR5" s="53">
        <f>'Fixed Fee'!BA13*9</f>
        <v>0</v>
      </c>
      <c r="AS5" s="53">
        <f>'Fixed Fee'!BB13*9</f>
        <v>0</v>
      </c>
      <c r="AT5" s="53">
        <f>'Fixed Fee'!BC13*9</f>
        <v>0</v>
      </c>
      <c r="AU5" s="53">
        <f>'Fixed Fee'!BD13*9</f>
        <v>0</v>
      </c>
      <c r="AV5" s="53">
        <f>'Fixed Fee'!BE13*9</f>
        <v>0</v>
      </c>
      <c r="AW5" s="53">
        <f>'Fixed Fee'!BF13*9</f>
        <v>0</v>
      </c>
      <c r="AX5" s="53">
        <f>'Fixed Fee'!BG13*9</f>
        <v>0</v>
      </c>
      <c r="AY5" s="53">
        <f>'Fixed Fee'!BH13*9</f>
        <v>0</v>
      </c>
      <c r="AZ5" s="53">
        <f>'Fixed Fee'!BI13*9</f>
        <v>0</v>
      </c>
      <c r="BA5" s="53">
        <f>'Fixed Fee'!BJ13*9</f>
        <v>0</v>
      </c>
      <c r="BB5" s="53">
        <f>'Fixed Fee'!BK13*9</f>
        <v>0</v>
      </c>
      <c r="BC5" s="53">
        <f>'Fixed Fee'!BL13*9</f>
        <v>0</v>
      </c>
      <c r="BD5" s="53">
        <f>'Fixed Fee'!BM13*9</f>
        <v>0</v>
      </c>
      <c r="BE5" s="53">
        <f>'Fixed Fee'!BN13*9</f>
        <v>0</v>
      </c>
      <c r="BF5" s="53">
        <f>'Fixed Fee'!BO13*9</f>
        <v>0</v>
      </c>
      <c r="BG5" s="53">
        <f>'Fixed Fee'!BP13*9</f>
        <v>0</v>
      </c>
      <c r="BH5" s="53">
        <f>'Fixed Fee'!BQ13*9</f>
        <v>0</v>
      </c>
      <c r="BI5" s="53">
        <f>'Fixed Fee'!BR13*9</f>
        <v>0</v>
      </c>
      <c r="BJ5" s="53">
        <f>'Fixed Fee'!BS13*9</f>
        <v>0</v>
      </c>
      <c r="BK5" s="53">
        <f>'Fixed Fee'!BT13*9</f>
        <v>0</v>
      </c>
      <c r="BL5" s="53">
        <f>'Fixed Fee'!BU13*9</f>
        <v>0</v>
      </c>
      <c r="BM5" s="53">
        <f>'Fixed Fee'!BV13*9</f>
        <v>0</v>
      </c>
      <c r="BN5" s="53">
        <f>'Fixed Fee'!BW13*9</f>
        <v>0</v>
      </c>
      <c r="BO5" s="53">
        <f>'Fixed Fee'!BX13*9</f>
        <v>0</v>
      </c>
      <c r="BP5" s="53">
        <f>'Fixed Fee'!BY13*9</f>
        <v>0</v>
      </c>
      <c r="BQ5" s="53">
        <f>'Fixed Fee'!BZ13*9</f>
        <v>0</v>
      </c>
      <c r="BR5" s="53">
        <f>'Fixed Fee'!CA13*9</f>
        <v>0</v>
      </c>
      <c r="BS5" s="53">
        <f>'Fixed Fee'!CB13*9</f>
        <v>0</v>
      </c>
      <c r="BT5" s="53">
        <f>'Fixed Fee'!CC13*9</f>
        <v>0</v>
      </c>
      <c r="BU5" s="53">
        <f>'Fixed Fee'!CD13*9</f>
        <v>0</v>
      </c>
      <c r="BV5" s="53">
        <f>'Fixed Fee'!CE13*9</f>
        <v>0</v>
      </c>
      <c r="BW5" s="53">
        <f>'Fixed Fee'!CF13*9</f>
        <v>0</v>
      </c>
      <c r="BX5" s="53">
        <f>'Fixed Fee'!CG13*9</f>
        <v>0</v>
      </c>
      <c r="BY5" s="53">
        <f>'Fixed Fee'!CH13*9</f>
        <v>0</v>
      </c>
    </row>
    <row r="6" spans="1:77" s="43" customFormat="1" ht="13" x14ac:dyDescent="0.45">
      <c r="A6" s="46" t="str">
        <f>'Fixed Fee'!C14</f>
        <v>Lawrenz, Carsten</v>
      </c>
      <c r="B6" s="53">
        <f>'Fixed Fee'!K14*9</f>
        <v>45</v>
      </c>
      <c r="C6" s="53">
        <f>'Fixed Fee'!L14*9</f>
        <v>45</v>
      </c>
      <c r="D6" s="53">
        <f>'Fixed Fee'!M14*9</f>
        <v>45</v>
      </c>
      <c r="E6" s="53">
        <f>'Fixed Fee'!N14*9</f>
        <v>45</v>
      </c>
      <c r="F6" s="53">
        <f>'Fixed Fee'!O14*9</f>
        <v>45</v>
      </c>
      <c r="G6" s="53">
        <f>'Fixed Fee'!P14*9</f>
        <v>45</v>
      </c>
      <c r="H6" s="53">
        <f>'Fixed Fee'!Q14*9</f>
        <v>45</v>
      </c>
      <c r="I6" s="53">
        <f>'Fixed Fee'!R14*9</f>
        <v>45</v>
      </c>
      <c r="J6" s="53">
        <f>'Fixed Fee'!S14*9</f>
        <v>45</v>
      </c>
      <c r="K6" s="53">
        <f>'Fixed Fee'!T14*9</f>
        <v>45</v>
      </c>
      <c r="L6" s="53">
        <f>'Fixed Fee'!U14*9</f>
        <v>45</v>
      </c>
      <c r="M6" s="53">
        <f>'Fixed Fee'!V14*9</f>
        <v>0</v>
      </c>
      <c r="N6" s="53">
        <f>'Fixed Fee'!W14*9</f>
        <v>0</v>
      </c>
      <c r="O6" s="53">
        <f>'Fixed Fee'!X14*9</f>
        <v>45</v>
      </c>
      <c r="P6" s="53">
        <f>'Fixed Fee'!Y14*9</f>
        <v>45</v>
      </c>
      <c r="Q6" s="53">
        <f>'Fixed Fee'!Z14*9</f>
        <v>45</v>
      </c>
      <c r="R6" s="53">
        <f>'Fixed Fee'!AA14*9</f>
        <v>45</v>
      </c>
      <c r="S6" s="53">
        <f>'Fixed Fee'!AB14*9</f>
        <v>0</v>
      </c>
      <c r="T6" s="53">
        <f>'Fixed Fee'!AC14*9</f>
        <v>0</v>
      </c>
      <c r="U6" s="53">
        <f>'Fixed Fee'!AD14*9</f>
        <v>0</v>
      </c>
      <c r="V6" s="53">
        <f>'Fixed Fee'!AE14*9</f>
        <v>0</v>
      </c>
      <c r="W6" s="53">
        <f>'Fixed Fee'!AF14*9</f>
        <v>0</v>
      </c>
      <c r="X6" s="53">
        <f>'Fixed Fee'!AG14*9</f>
        <v>0</v>
      </c>
      <c r="Y6" s="53">
        <f>'Fixed Fee'!AH14*9</f>
        <v>0</v>
      </c>
      <c r="Z6" s="53">
        <f>'Fixed Fee'!AI14*9</f>
        <v>0</v>
      </c>
      <c r="AA6" s="53">
        <f>'Fixed Fee'!AJ14*9</f>
        <v>0</v>
      </c>
      <c r="AB6" s="53">
        <f>'Fixed Fee'!AK14*9</f>
        <v>0</v>
      </c>
      <c r="AC6" s="53">
        <f>'Fixed Fee'!AL14*9</f>
        <v>0</v>
      </c>
      <c r="AD6" s="53">
        <f>'Fixed Fee'!AM14*9</f>
        <v>0</v>
      </c>
      <c r="AE6" s="53">
        <f>'Fixed Fee'!AN14*9</f>
        <v>0</v>
      </c>
      <c r="AF6" s="53">
        <f>'Fixed Fee'!AO14*9</f>
        <v>0</v>
      </c>
      <c r="AG6" s="53">
        <f>'Fixed Fee'!AP14*9</f>
        <v>0</v>
      </c>
      <c r="AH6" s="53">
        <f>'Fixed Fee'!AQ14*9</f>
        <v>0</v>
      </c>
      <c r="AI6" s="53">
        <f>'Fixed Fee'!AR14*9</f>
        <v>0</v>
      </c>
      <c r="AJ6" s="53">
        <f>'Fixed Fee'!AS14*9</f>
        <v>0</v>
      </c>
      <c r="AK6" s="53">
        <f>'Fixed Fee'!AT14*9</f>
        <v>0</v>
      </c>
      <c r="AL6" s="53">
        <f>'Fixed Fee'!AU14*9</f>
        <v>0</v>
      </c>
      <c r="AM6" s="53">
        <f>'Fixed Fee'!AV14*9</f>
        <v>0</v>
      </c>
      <c r="AN6" s="53">
        <f>'Fixed Fee'!AW14*9</f>
        <v>0</v>
      </c>
      <c r="AO6" s="53">
        <f>'Fixed Fee'!AX14*9</f>
        <v>0</v>
      </c>
      <c r="AP6" s="53">
        <f>'Fixed Fee'!AY14*9</f>
        <v>0</v>
      </c>
      <c r="AQ6" s="53">
        <f>'Fixed Fee'!AZ14*9</f>
        <v>0</v>
      </c>
      <c r="AR6" s="53">
        <f>'Fixed Fee'!BA14*9</f>
        <v>0</v>
      </c>
      <c r="AS6" s="53">
        <f>'Fixed Fee'!BB14*9</f>
        <v>0</v>
      </c>
      <c r="AT6" s="53">
        <f>'Fixed Fee'!BC14*9</f>
        <v>0</v>
      </c>
      <c r="AU6" s="53">
        <f>'Fixed Fee'!BD14*9</f>
        <v>0</v>
      </c>
      <c r="AV6" s="53">
        <f>'Fixed Fee'!BE14*9</f>
        <v>0</v>
      </c>
      <c r="AW6" s="53">
        <f>'Fixed Fee'!BF14*9</f>
        <v>0</v>
      </c>
      <c r="AX6" s="53">
        <f>'Fixed Fee'!BG14*9</f>
        <v>0</v>
      </c>
      <c r="AY6" s="53">
        <f>'Fixed Fee'!BH14*9</f>
        <v>0</v>
      </c>
      <c r="AZ6" s="53">
        <f>'Fixed Fee'!BI14*9</f>
        <v>0</v>
      </c>
      <c r="BA6" s="53">
        <f>'Fixed Fee'!BJ14*9</f>
        <v>0</v>
      </c>
      <c r="BB6" s="53">
        <f>'Fixed Fee'!BK14*9</f>
        <v>0</v>
      </c>
      <c r="BC6" s="53">
        <f>'Fixed Fee'!BL14*9</f>
        <v>0</v>
      </c>
      <c r="BD6" s="53">
        <f>'Fixed Fee'!BM14*9</f>
        <v>0</v>
      </c>
      <c r="BE6" s="53">
        <f>'Fixed Fee'!BN14*9</f>
        <v>0</v>
      </c>
      <c r="BF6" s="53">
        <f>'Fixed Fee'!BO14*9</f>
        <v>0</v>
      </c>
      <c r="BG6" s="53">
        <f>'Fixed Fee'!BP14*9</f>
        <v>0</v>
      </c>
      <c r="BH6" s="53">
        <f>'Fixed Fee'!BQ14*9</f>
        <v>0</v>
      </c>
      <c r="BI6" s="53">
        <f>'Fixed Fee'!BR14*9</f>
        <v>0</v>
      </c>
      <c r="BJ6" s="53">
        <f>'Fixed Fee'!BS14*9</f>
        <v>0</v>
      </c>
      <c r="BK6" s="53">
        <f>'Fixed Fee'!BT14*9</f>
        <v>0</v>
      </c>
      <c r="BL6" s="53">
        <f>'Fixed Fee'!BU14*9</f>
        <v>0</v>
      </c>
      <c r="BM6" s="53">
        <f>'Fixed Fee'!BV14*9</f>
        <v>0</v>
      </c>
      <c r="BN6" s="53">
        <f>'Fixed Fee'!BW14*9</f>
        <v>0</v>
      </c>
      <c r="BO6" s="53">
        <f>'Fixed Fee'!BX14*9</f>
        <v>0</v>
      </c>
      <c r="BP6" s="53">
        <f>'Fixed Fee'!BY14*9</f>
        <v>0</v>
      </c>
      <c r="BQ6" s="53">
        <f>'Fixed Fee'!BZ14*9</f>
        <v>0</v>
      </c>
      <c r="BR6" s="53">
        <f>'Fixed Fee'!CA14*9</f>
        <v>0</v>
      </c>
      <c r="BS6" s="53">
        <f>'Fixed Fee'!CB14*9</f>
        <v>0</v>
      </c>
      <c r="BT6" s="53">
        <f>'Fixed Fee'!CC14*9</f>
        <v>0</v>
      </c>
      <c r="BU6" s="53">
        <f>'Fixed Fee'!CD14*9</f>
        <v>0</v>
      </c>
      <c r="BV6" s="53">
        <f>'Fixed Fee'!CE14*9</f>
        <v>0</v>
      </c>
      <c r="BW6" s="53">
        <f>'Fixed Fee'!CF14*9</f>
        <v>0</v>
      </c>
      <c r="BX6" s="53">
        <f>'Fixed Fee'!CG14*9</f>
        <v>0</v>
      </c>
      <c r="BY6" s="53">
        <f>'Fixed Fee'!CH14*9</f>
        <v>0</v>
      </c>
    </row>
    <row r="7" spans="1:77" s="43" customFormat="1" ht="13" x14ac:dyDescent="0.45">
      <c r="A7" s="46" t="str">
        <f>'Fixed Fee'!C15</f>
        <v>Dyzers, Olivier</v>
      </c>
      <c r="B7" s="53">
        <f>'Fixed Fee'!K22*9</f>
        <v>0</v>
      </c>
      <c r="C7" s="53">
        <f>'Fixed Fee'!L19*9</f>
        <v>0</v>
      </c>
      <c r="D7" s="53">
        <f>'Fixed Fee'!M22*9</f>
        <v>0</v>
      </c>
      <c r="E7" s="53">
        <f>'Fixed Fee'!N22*9</f>
        <v>0</v>
      </c>
      <c r="F7" s="53">
        <f>'Fixed Fee'!O15*9</f>
        <v>45</v>
      </c>
      <c r="G7" s="53">
        <f>'Fixed Fee'!P15*9</f>
        <v>45</v>
      </c>
      <c r="H7" s="53">
        <f>'Fixed Fee'!Q15*9</f>
        <v>45</v>
      </c>
      <c r="I7" s="53">
        <f>'Fixed Fee'!R15*9</f>
        <v>45</v>
      </c>
      <c r="J7" s="53">
        <f>'Fixed Fee'!S15*9</f>
        <v>45</v>
      </c>
      <c r="K7" s="53">
        <f>'Fixed Fee'!T15*9</f>
        <v>45</v>
      </c>
      <c r="L7" s="53">
        <f>'Fixed Fee'!U15*9</f>
        <v>45</v>
      </c>
      <c r="M7" s="53">
        <f>'Fixed Fee'!V15*9</f>
        <v>0</v>
      </c>
      <c r="N7" s="53">
        <f>'Fixed Fee'!W15*9</f>
        <v>0</v>
      </c>
      <c r="O7" s="53">
        <f>'Fixed Fee'!X15*9</f>
        <v>45</v>
      </c>
      <c r="P7" s="53">
        <f>'Fixed Fee'!Y15*9</f>
        <v>45</v>
      </c>
      <c r="Q7" s="53">
        <f>'Fixed Fee'!Z15*9</f>
        <v>45</v>
      </c>
      <c r="R7" s="53">
        <f>'Fixed Fee'!AA15*9</f>
        <v>45</v>
      </c>
      <c r="S7" s="53">
        <f>'Fixed Fee'!AB15*9</f>
        <v>0</v>
      </c>
      <c r="T7" s="53">
        <f>'Fixed Fee'!AC15*9</f>
        <v>0</v>
      </c>
      <c r="U7" s="53">
        <f>'Fixed Fee'!AD15*9</f>
        <v>0</v>
      </c>
      <c r="V7" s="53">
        <f>'Fixed Fee'!AE15*9</f>
        <v>0</v>
      </c>
      <c r="W7" s="53">
        <f>'Fixed Fee'!AF15*9</f>
        <v>0</v>
      </c>
      <c r="X7" s="53">
        <f>'Fixed Fee'!AG15*9</f>
        <v>0</v>
      </c>
      <c r="Y7" s="53">
        <f>'Fixed Fee'!AH15*9</f>
        <v>0</v>
      </c>
      <c r="Z7" s="53">
        <f>'Fixed Fee'!AI15*9</f>
        <v>0</v>
      </c>
      <c r="AA7" s="53">
        <f>'Fixed Fee'!AJ15*9</f>
        <v>0</v>
      </c>
      <c r="AB7" s="53">
        <f>'Fixed Fee'!AK15*9</f>
        <v>0</v>
      </c>
      <c r="AC7" s="53">
        <f>'Fixed Fee'!AL15*9</f>
        <v>0</v>
      </c>
      <c r="AD7" s="53">
        <f>'Fixed Fee'!AM15*9</f>
        <v>0</v>
      </c>
      <c r="AE7" s="53">
        <f>'Fixed Fee'!AN15*9</f>
        <v>0</v>
      </c>
      <c r="AF7" s="53">
        <f>'Fixed Fee'!AO15*9</f>
        <v>0</v>
      </c>
      <c r="AG7" s="53">
        <f>'Fixed Fee'!AP15*9</f>
        <v>0</v>
      </c>
      <c r="AH7" s="53">
        <f>'Fixed Fee'!AQ15*9</f>
        <v>0</v>
      </c>
      <c r="AI7" s="53">
        <f>'Fixed Fee'!AR15*9</f>
        <v>0</v>
      </c>
      <c r="AJ7" s="53">
        <f>'Fixed Fee'!AS15*9</f>
        <v>0</v>
      </c>
      <c r="AK7" s="53">
        <f>'Fixed Fee'!AT15*9</f>
        <v>0</v>
      </c>
      <c r="AL7" s="53">
        <f>'Fixed Fee'!AU15*9</f>
        <v>0</v>
      </c>
      <c r="AM7" s="53">
        <f>'Fixed Fee'!AV15*9</f>
        <v>0</v>
      </c>
      <c r="AN7" s="53">
        <f>'Fixed Fee'!AW15*9</f>
        <v>0</v>
      </c>
      <c r="AO7" s="53">
        <f>'Fixed Fee'!AX15*9</f>
        <v>0</v>
      </c>
      <c r="AP7" s="53">
        <f>'Fixed Fee'!AY15*9</f>
        <v>0</v>
      </c>
      <c r="AQ7" s="53">
        <f>'Fixed Fee'!AZ15*9</f>
        <v>0</v>
      </c>
      <c r="AR7" s="53">
        <f>'Fixed Fee'!BA15*9</f>
        <v>0</v>
      </c>
      <c r="AS7" s="53">
        <f>'Fixed Fee'!BB15*9</f>
        <v>0</v>
      </c>
      <c r="AT7" s="53">
        <f>'Fixed Fee'!BC15*9</f>
        <v>0</v>
      </c>
      <c r="AU7" s="53">
        <f>'Fixed Fee'!BD15*9</f>
        <v>0</v>
      </c>
      <c r="AV7" s="53">
        <f>'Fixed Fee'!BE15*9</f>
        <v>0</v>
      </c>
      <c r="AW7" s="53">
        <f>'Fixed Fee'!BF15*9</f>
        <v>0</v>
      </c>
      <c r="AX7" s="53">
        <f>'Fixed Fee'!BG15*9</f>
        <v>0</v>
      </c>
      <c r="AY7" s="53">
        <f>'Fixed Fee'!BH15*9</f>
        <v>0</v>
      </c>
      <c r="AZ7" s="53">
        <f>'Fixed Fee'!BI15*9</f>
        <v>0</v>
      </c>
      <c r="BA7" s="53">
        <f>'Fixed Fee'!BJ15*9</f>
        <v>0</v>
      </c>
      <c r="BB7" s="53">
        <f>'Fixed Fee'!BK15*9</f>
        <v>0</v>
      </c>
      <c r="BC7" s="53">
        <f>'Fixed Fee'!BL15*9</f>
        <v>0</v>
      </c>
      <c r="BD7" s="53">
        <f>'Fixed Fee'!BM15*9</f>
        <v>0</v>
      </c>
      <c r="BE7" s="53">
        <f>'Fixed Fee'!BN15*9</f>
        <v>0</v>
      </c>
      <c r="BF7" s="53">
        <f>'Fixed Fee'!BO15*9</f>
        <v>0</v>
      </c>
      <c r="BG7" s="53">
        <f>'Fixed Fee'!BP15*9</f>
        <v>0</v>
      </c>
      <c r="BH7" s="53">
        <f>'Fixed Fee'!BQ15*9</f>
        <v>0</v>
      </c>
      <c r="BI7" s="53">
        <f>'Fixed Fee'!BR15*9</f>
        <v>0</v>
      </c>
      <c r="BJ7" s="53">
        <f>'Fixed Fee'!BS15*9</f>
        <v>0</v>
      </c>
      <c r="BK7" s="53">
        <f>'Fixed Fee'!BT15*9</f>
        <v>0</v>
      </c>
      <c r="BL7" s="53">
        <f>'Fixed Fee'!BU15*9</f>
        <v>0</v>
      </c>
      <c r="BM7" s="53">
        <f>'Fixed Fee'!BV15*9</f>
        <v>0</v>
      </c>
      <c r="BN7" s="53">
        <f>'Fixed Fee'!BW15*9</f>
        <v>0</v>
      </c>
      <c r="BO7" s="53">
        <f>'Fixed Fee'!BX15*9</f>
        <v>0</v>
      </c>
      <c r="BP7" s="53">
        <f>'Fixed Fee'!BY15*9</f>
        <v>0</v>
      </c>
      <c r="BQ7" s="53">
        <f>'Fixed Fee'!BZ15*9</f>
        <v>0</v>
      </c>
      <c r="BR7" s="53">
        <f>'Fixed Fee'!CA15*9</f>
        <v>0</v>
      </c>
      <c r="BS7" s="53">
        <f>'Fixed Fee'!CB15*9</f>
        <v>0</v>
      </c>
      <c r="BT7" s="53">
        <f>'Fixed Fee'!CC15*9</f>
        <v>0</v>
      </c>
      <c r="BU7" s="53">
        <f>'Fixed Fee'!CD15*9</f>
        <v>0</v>
      </c>
      <c r="BV7" s="53">
        <f>'Fixed Fee'!CE15*9</f>
        <v>0</v>
      </c>
      <c r="BW7" s="53">
        <f>'Fixed Fee'!CF15*9</f>
        <v>0</v>
      </c>
      <c r="BX7" s="53">
        <f>'Fixed Fee'!CG15*9</f>
        <v>0</v>
      </c>
      <c r="BY7" s="53">
        <f>'Fixed Fee'!CH15*9</f>
        <v>0</v>
      </c>
    </row>
    <row r="8" spans="1:77" s="43" customFormat="1" ht="13" x14ac:dyDescent="0.45">
      <c r="A8" s="46" t="str">
        <f>'Fixed Fee'!C16</f>
        <v>Ward, Nicholas</v>
      </c>
      <c r="B8" s="53">
        <f>'Fixed Fee'!K16*9</f>
        <v>45</v>
      </c>
      <c r="C8" s="53">
        <f>'Fixed Fee'!L16*9</f>
        <v>45</v>
      </c>
      <c r="D8" s="53">
        <f>'Fixed Fee'!M16*9</f>
        <v>45</v>
      </c>
      <c r="E8" s="53">
        <f>'Fixed Fee'!N16*9</f>
        <v>45</v>
      </c>
      <c r="F8" s="53">
        <f>'Fixed Fee'!O16*9</f>
        <v>45</v>
      </c>
      <c r="G8" s="53">
        <f>'Fixed Fee'!P16*9</f>
        <v>45</v>
      </c>
      <c r="H8" s="53">
        <f>'Fixed Fee'!Q16*9</f>
        <v>45</v>
      </c>
      <c r="I8" s="53">
        <f>'Fixed Fee'!R16*9</f>
        <v>45</v>
      </c>
      <c r="J8" s="53">
        <f>'Fixed Fee'!S16*9</f>
        <v>45</v>
      </c>
      <c r="K8" s="53">
        <f>'Fixed Fee'!T16*9</f>
        <v>45</v>
      </c>
      <c r="L8" s="53">
        <f>'Fixed Fee'!U16*9</f>
        <v>45</v>
      </c>
      <c r="M8" s="53">
        <f>'Fixed Fee'!V16*9</f>
        <v>0</v>
      </c>
      <c r="N8" s="53">
        <f>'Fixed Fee'!W16*9</f>
        <v>0</v>
      </c>
      <c r="O8" s="53">
        <f>'Fixed Fee'!X16*9</f>
        <v>45</v>
      </c>
      <c r="P8" s="53">
        <f>'Fixed Fee'!Y16*9</f>
        <v>45</v>
      </c>
      <c r="Q8" s="53">
        <f>'Fixed Fee'!Z16*9</f>
        <v>45</v>
      </c>
      <c r="R8" s="53">
        <f>'Fixed Fee'!AA16*9</f>
        <v>45</v>
      </c>
      <c r="S8" s="53">
        <f>'Fixed Fee'!AB16*9</f>
        <v>0</v>
      </c>
      <c r="T8" s="53">
        <f>'Fixed Fee'!AC16*9</f>
        <v>0</v>
      </c>
      <c r="U8" s="53">
        <f>'Fixed Fee'!AD16*9</f>
        <v>0</v>
      </c>
      <c r="V8" s="53">
        <f>'Fixed Fee'!AE16*9</f>
        <v>0</v>
      </c>
      <c r="W8" s="53">
        <f>'Fixed Fee'!AF16*9</f>
        <v>0</v>
      </c>
      <c r="X8" s="53">
        <f>'Fixed Fee'!AG16*9</f>
        <v>0</v>
      </c>
      <c r="Y8" s="53">
        <f>'Fixed Fee'!AH16*9</f>
        <v>0</v>
      </c>
      <c r="Z8" s="53">
        <f>'Fixed Fee'!AI16*9</f>
        <v>0</v>
      </c>
      <c r="AA8" s="53">
        <f>'Fixed Fee'!AJ16*9</f>
        <v>0</v>
      </c>
      <c r="AB8" s="53">
        <f>'Fixed Fee'!AK16*9</f>
        <v>0</v>
      </c>
      <c r="AC8" s="53">
        <f>'Fixed Fee'!AL16*9</f>
        <v>0</v>
      </c>
      <c r="AD8" s="53">
        <f>'Fixed Fee'!AM16*9</f>
        <v>0</v>
      </c>
      <c r="AE8" s="53">
        <f>'Fixed Fee'!AN16*9</f>
        <v>0</v>
      </c>
      <c r="AF8" s="53">
        <f>'Fixed Fee'!AO16*9</f>
        <v>0</v>
      </c>
      <c r="AG8" s="53">
        <f>'Fixed Fee'!AP16*9</f>
        <v>0</v>
      </c>
      <c r="AH8" s="53">
        <f>'Fixed Fee'!AQ16*9</f>
        <v>0</v>
      </c>
      <c r="AI8" s="53">
        <f>'Fixed Fee'!AR16*9</f>
        <v>0</v>
      </c>
      <c r="AJ8" s="53">
        <f>'Fixed Fee'!AS16*9</f>
        <v>0</v>
      </c>
      <c r="AK8" s="53">
        <f>'Fixed Fee'!AT16*9</f>
        <v>0</v>
      </c>
      <c r="AL8" s="53">
        <f>'Fixed Fee'!AU16*9</f>
        <v>0</v>
      </c>
      <c r="AM8" s="53">
        <f>'Fixed Fee'!AV16*9</f>
        <v>0</v>
      </c>
      <c r="AN8" s="53">
        <f>'Fixed Fee'!AW16*9</f>
        <v>0</v>
      </c>
      <c r="AO8" s="53">
        <f>'Fixed Fee'!AX16*9</f>
        <v>0</v>
      </c>
      <c r="AP8" s="53">
        <f>'Fixed Fee'!AY16*9</f>
        <v>0</v>
      </c>
      <c r="AQ8" s="53">
        <f>'Fixed Fee'!AZ16*9</f>
        <v>0</v>
      </c>
      <c r="AR8" s="53">
        <f>'Fixed Fee'!BA16*9</f>
        <v>0</v>
      </c>
      <c r="AS8" s="53">
        <f>'Fixed Fee'!BB16*9</f>
        <v>0</v>
      </c>
      <c r="AT8" s="53">
        <f>'Fixed Fee'!BC16*9</f>
        <v>0</v>
      </c>
      <c r="AU8" s="53">
        <f>'Fixed Fee'!BD16*9</f>
        <v>0</v>
      </c>
      <c r="AV8" s="53">
        <f>'Fixed Fee'!BE16*9</f>
        <v>0</v>
      </c>
      <c r="AW8" s="53">
        <f>'Fixed Fee'!BF16*9</f>
        <v>0</v>
      </c>
      <c r="AX8" s="53">
        <f>'Fixed Fee'!BG16*9</f>
        <v>0</v>
      </c>
      <c r="AY8" s="53">
        <f>'Fixed Fee'!BH16*9</f>
        <v>0</v>
      </c>
      <c r="AZ8" s="53">
        <f>'Fixed Fee'!BI16*9</f>
        <v>0</v>
      </c>
      <c r="BA8" s="53">
        <f>'Fixed Fee'!BJ16*9</f>
        <v>0</v>
      </c>
      <c r="BB8" s="53">
        <f>'Fixed Fee'!BK16*9</f>
        <v>0</v>
      </c>
      <c r="BC8" s="53">
        <f>'Fixed Fee'!BL16*9</f>
        <v>0</v>
      </c>
      <c r="BD8" s="53">
        <f>'Fixed Fee'!BM16*9</f>
        <v>0</v>
      </c>
      <c r="BE8" s="53">
        <f>'Fixed Fee'!BN16*9</f>
        <v>0</v>
      </c>
      <c r="BF8" s="53">
        <f>'Fixed Fee'!BO16*9</f>
        <v>0</v>
      </c>
      <c r="BG8" s="53">
        <f>'Fixed Fee'!BP16*9</f>
        <v>0</v>
      </c>
      <c r="BH8" s="53">
        <f>'Fixed Fee'!BQ16*9</f>
        <v>0</v>
      </c>
      <c r="BI8" s="53">
        <f>'Fixed Fee'!BR16*9</f>
        <v>0</v>
      </c>
      <c r="BJ8" s="53">
        <f>'Fixed Fee'!BS16*9</f>
        <v>0</v>
      </c>
      <c r="BK8" s="53">
        <f>'Fixed Fee'!BT16*9</f>
        <v>0</v>
      </c>
      <c r="BL8" s="53">
        <f>'Fixed Fee'!BU16*9</f>
        <v>0</v>
      </c>
      <c r="BM8" s="53">
        <f>'Fixed Fee'!BV16*9</f>
        <v>0</v>
      </c>
      <c r="BN8" s="53">
        <f>'Fixed Fee'!BW16*9</f>
        <v>0</v>
      </c>
      <c r="BO8" s="53">
        <f>'Fixed Fee'!BX16*9</f>
        <v>0</v>
      </c>
      <c r="BP8" s="53">
        <f>'Fixed Fee'!BY16*9</f>
        <v>0</v>
      </c>
      <c r="BQ8" s="53">
        <f>'Fixed Fee'!BZ16*9</f>
        <v>0</v>
      </c>
      <c r="BR8" s="53">
        <f>'Fixed Fee'!CA16*9</f>
        <v>0</v>
      </c>
      <c r="BS8" s="53">
        <f>'Fixed Fee'!CB16*9</f>
        <v>0</v>
      </c>
      <c r="BT8" s="53">
        <f>'Fixed Fee'!CC16*9</f>
        <v>0</v>
      </c>
      <c r="BU8" s="53">
        <f>'Fixed Fee'!CD16*9</f>
        <v>0</v>
      </c>
      <c r="BV8" s="53">
        <f>'Fixed Fee'!CE16*9</f>
        <v>0</v>
      </c>
      <c r="BW8" s="53">
        <f>'Fixed Fee'!CF16*9</f>
        <v>0</v>
      </c>
      <c r="BX8" s="53">
        <f>'Fixed Fee'!CG16*9</f>
        <v>0</v>
      </c>
      <c r="BY8" s="53">
        <f>'Fixed Fee'!CH16*9</f>
        <v>0</v>
      </c>
    </row>
    <row r="9" spans="1:77" s="43" customFormat="1" ht="13" x14ac:dyDescent="0.45">
      <c r="A9" s="46" t="str">
        <f>'Fixed Fee'!C17</f>
        <v>Kruse, Nils</v>
      </c>
      <c r="B9" s="53">
        <f>'Fixed Fee'!K17*9</f>
        <v>0</v>
      </c>
      <c r="C9" s="53">
        <f>'Fixed Fee'!L17*9</f>
        <v>0</v>
      </c>
      <c r="D9" s="53">
        <f>'Fixed Fee'!M17*9</f>
        <v>0</v>
      </c>
      <c r="E9" s="53">
        <f>'Fixed Fee'!N17*9</f>
        <v>0</v>
      </c>
      <c r="F9" s="53">
        <f>'Fixed Fee'!O17*9</f>
        <v>4.5</v>
      </c>
      <c r="G9" s="53">
        <f>'Fixed Fee'!P17*9</f>
        <v>4.5</v>
      </c>
      <c r="H9" s="53">
        <f>'Fixed Fee'!Q17*9</f>
        <v>4.5</v>
      </c>
      <c r="I9" s="53">
        <f>'Fixed Fee'!R17*9</f>
        <v>4.5</v>
      </c>
      <c r="J9" s="53">
        <f>'Fixed Fee'!S17*9</f>
        <v>4.5</v>
      </c>
      <c r="K9" s="53">
        <f>'Fixed Fee'!T17*9</f>
        <v>4.5</v>
      </c>
      <c r="L9" s="53">
        <f>'Fixed Fee'!U17*9</f>
        <v>4.5</v>
      </c>
      <c r="M9" s="53">
        <f>'Fixed Fee'!V17*9</f>
        <v>0</v>
      </c>
      <c r="N9" s="53">
        <f>'Fixed Fee'!W17*9</f>
        <v>0</v>
      </c>
      <c r="O9" s="53">
        <f>'Fixed Fee'!X17*9</f>
        <v>4.5</v>
      </c>
      <c r="P9" s="53">
        <f>'Fixed Fee'!Y17*9</f>
        <v>4.5</v>
      </c>
      <c r="Q9" s="53">
        <f>'Fixed Fee'!Z17*9</f>
        <v>4.5</v>
      </c>
      <c r="R9" s="53">
        <f>'Fixed Fee'!AA17*9</f>
        <v>4.5</v>
      </c>
      <c r="S9" s="53">
        <f>'Fixed Fee'!AB17*9</f>
        <v>0</v>
      </c>
      <c r="T9" s="53">
        <f>'Fixed Fee'!AC17*9</f>
        <v>0</v>
      </c>
      <c r="U9" s="53">
        <f>'Fixed Fee'!AD17*9</f>
        <v>0</v>
      </c>
      <c r="V9" s="53">
        <f>'Fixed Fee'!AE17*9</f>
        <v>0</v>
      </c>
      <c r="W9" s="53">
        <f>'Fixed Fee'!AF17*9</f>
        <v>0</v>
      </c>
      <c r="X9" s="53">
        <f>'Fixed Fee'!AG17*9</f>
        <v>0</v>
      </c>
      <c r="Y9" s="53">
        <f>'Fixed Fee'!AH17*9</f>
        <v>0</v>
      </c>
      <c r="Z9" s="53">
        <f>'Fixed Fee'!AI17*9</f>
        <v>0</v>
      </c>
      <c r="AA9" s="53">
        <f>'Fixed Fee'!AJ17*9</f>
        <v>0</v>
      </c>
      <c r="AB9" s="53">
        <f>'Fixed Fee'!AK17*9</f>
        <v>0</v>
      </c>
      <c r="AC9" s="53">
        <f>'Fixed Fee'!AL17*9</f>
        <v>0</v>
      </c>
      <c r="AD9" s="53">
        <f>'Fixed Fee'!AM17*9</f>
        <v>0</v>
      </c>
      <c r="AE9" s="53">
        <f>'Fixed Fee'!AN17*9</f>
        <v>0</v>
      </c>
      <c r="AF9" s="53">
        <f>'Fixed Fee'!AO17*9</f>
        <v>0</v>
      </c>
      <c r="AG9" s="53">
        <f>'Fixed Fee'!AP17*9</f>
        <v>0</v>
      </c>
      <c r="AH9" s="53">
        <f>'Fixed Fee'!AQ17*9</f>
        <v>0</v>
      </c>
      <c r="AI9" s="53">
        <f>'Fixed Fee'!AR17*9</f>
        <v>0</v>
      </c>
      <c r="AJ9" s="53">
        <f>'Fixed Fee'!AS17*9</f>
        <v>0</v>
      </c>
      <c r="AK9" s="53">
        <f>'Fixed Fee'!AT17*9</f>
        <v>0</v>
      </c>
      <c r="AL9" s="53">
        <f>'Fixed Fee'!AU17*9</f>
        <v>0</v>
      </c>
      <c r="AM9" s="53">
        <f>'Fixed Fee'!AV17*9</f>
        <v>0</v>
      </c>
      <c r="AN9" s="53">
        <f>'Fixed Fee'!AW17*9</f>
        <v>0</v>
      </c>
      <c r="AO9" s="53">
        <f>'Fixed Fee'!AX17*9</f>
        <v>0</v>
      </c>
      <c r="AP9" s="53">
        <f>'Fixed Fee'!AY17*9</f>
        <v>0</v>
      </c>
      <c r="AQ9" s="53">
        <f>'Fixed Fee'!AZ17*9</f>
        <v>0</v>
      </c>
      <c r="AR9" s="53">
        <f>'Fixed Fee'!BA17*9</f>
        <v>0</v>
      </c>
      <c r="AS9" s="53">
        <f>'Fixed Fee'!BB17*9</f>
        <v>0</v>
      </c>
      <c r="AT9" s="53">
        <f>'Fixed Fee'!BC17*9</f>
        <v>0</v>
      </c>
      <c r="AU9" s="53">
        <f>'Fixed Fee'!BD17*9</f>
        <v>0</v>
      </c>
      <c r="AV9" s="53">
        <f>'Fixed Fee'!BE17*9</f>
        <v>0</v>
      </c>
      <c r="AW9" s="53">
        <f>'Fixed Fee'!BF17*9</f>
        <v>0</v>
      </c>
      <c r="AX9" s="53">
        <f>'Fixed Fee'!BG17*9</f>
        <v>0</v>
      </c>
      <c r="AY9" s="53">
        <f>'Fixed Fee'!BH17*9</f>
        <v>0</v>
      </c>
      <c r="AZ9" s="53">
        <f>'Fixed Fee'!BI17*9</f>
        <v>0</v>
      </c>
      <c r="BA9" s="53">
        <f>'Fixed Fee'!BJ17*9</f>
        <v>0</v>
      </c>
      <c r="BB9" s="53">
        <f>'Fixed Fee'!BK17*9</f>
        <v>0</v>
      </c>
      <c r="BC9" s="53">
        <f>'Fixed Fee'!BL17*9</f>
        <v>0</v>
      </c>
      <c r="BD9" s="53">
        <f>'Fixed Fee'!BM17*9</f>
        <v>0</v>
      </c>
      <c r="BE9" s="53">
        <f>'Fixed Fee'!BN17*9</f>
        <v>0</v>
      </c>
      <c r="BF9" s="53">
        <f>'Fixed Fee'!BO17*9</f>
        <v>0</v>
      </c>
      <c r="BG9" s="53">
        <f>'Fixed Fee'!BP17*9</f>
        <v>0</v>
      </c>
      <c r="BH9" s="53">
        <f>'Fixed Fee'!BQ17*9</f>
        <v>0</v>
      </c>
      <c r="BI9" s="53">
        <f>'Fixed Fee'!BR17*9</f>
        <v>0</v>
      </c>
      <c r="BJ9" s="53">
        <f>'Fixed Fee'!BS17*9</f>
        <v>0</v>
      </c>
      <c r="BK9" s="53">
        <f>'Fixed Fee'!BT17*9</f>
        <v>0</v>
      </c>
      <c r="BL9" s="53">
        <f>'Fixed Fee'!BU17*9</f>
        <v>0</v>
      </c>
      <c r="BM9" s="53">
        <f>'Fixed Fee'!BV17*9</f>
        <v>0</v>
      </c>
      <c r="BN9" s="53">
        <f>'Fixed Fee'!BW17*9</f>
        <v>0</v>
      </c>
      <c r="BO9" s="53">
        <f>'Fixed Fee'!BX17*9</f>
        <v>0</v>
      </c>
      <c r="BP9" s="53">
        <f>'Fixed Fee'!BY17*9</f>
        <v>0</v>
      </c>
      <c r="BQ9" s="53">
        <f>'Fixed Fee'!BZ17*9</f>
        <v>0</v>
      </c>
      <c r="BR9" s="53">
        <f>'Fixed Fee'!CA17*9</f>
        <v>0</v>
      </c>
      <c r="BS9" s="53">
        <f>'Fixed Fee'!CB17*9</f>
        <v>0</v>
      </c>
      <c r="BT9" s="53">
        <f>'Fixed Fee'!CC17*9</f>
        <v>0</v>
      </c>
      <c r="BU9" s="53">
        <f>'Fixed Fee'!CD17*9</f>
        <v>0</v>
      </c>
      <c r="BV9" s="53">
        <f>'Fixed Fee'!CE17*9</f>
        <v>0</v>
      </c>
      <c r="BW9" s="53">
        <f>'Fixed Fee'!CF17*9</f>
        <v>0</v>
      </c>
      <c r="BX9" s="53">
        <f>'Fixed Fee'!CG17*9</f>
        <v>0</v>
      </c>
      <c r="BY9" s="53">
        <f>'Fixed Fee'!CH17*9</f>
        <v>0</v>
      </c>
    </row>
    <row r="10" spans="1:77" s="43" customFormat="1" ht="13" x14ac:dyDescent="0.45">
      <c r="A10" s="46" t="str">
        <f>'Fixed Fee'!C18</f>
        <v>TBD-Manager - 1</v>
      </c>
      <c r="B10" s="53">
        <f>'Fixed Fee'!K18*9</f>
        <v>0</v>
      </c>
      <c r="C10" s="53">
        <f>'Fixed Fee'!L18*9</f>
        <v>0</v>
      </c>
      <c r="D10" s="53">
        <f>'Fixed Fee'!M18*9</f>
        <v>0</v>
      </c>
      <c r="E10" s="53">
        <f>'Fixed Fee'!N18*9</f>
        <v>0</v>
      </c>
      <c r="F10" s="53">
        <f>'Fixed Fee'!O18*9</f>
        <v>0</v>
      </c>
      <c r="G10" s="53">
        <f>'Fixed Fee'!P18*9</f>
        <v>0</v>
      </c>
      <c r="H10" s="53">
        <f>'Fixed Fee'!Q18*9</f>
        <v>0</v>
      </c>
      <c r="I10" s="53">
        <f>'Fixed Fee'!R18*9</f>
        <v>0</v>
      </c>
      <c r="J10" s="53">
        <f>'Fixed Fee'!S18*9</f>
        <v>0</v>
      </c>
      <c r="K10" s="53">
        <f>'Fixed Fee'!T18*9</f>
        <v>0</v>
      </c>
      <c r="L10" s="53">
        <f>'Fixed Fee'!U18*9</f>
        <v>0</v>
      </c>
      <c r="M10" s="53">
        <f>'Fixed Fee'!V18*9</f>
        <v>0</v>
      </c>
      <c r="N10" s="53">
        <f>'Fixed Fee'!W18*9</f>
        <v>0</v>
      </c>
      <c r="O10" s="53">
        <f>'Fixed Fee'!X18*9</f>
        <v>45</v>
      </c>
      <c r="P10" s="53">
        <f>'Fixed Fee'!Y18*9</f>
        <v>45</v>
      </c>
      <c r="Q10" s="53">
        <f>'Fixed Fee'!Z18*9</f>
        <v>45</v>
      </c>
      <c r="R10" s="53">
        <f>'Fixed Fee'!AA18*9</f>
        <v>45</v>
      </c>
      <c r="S10" s="53">
        <f>'Fixed Fee'!AB18*9</f>
        <v>0</v>
      </c>
      <c r="T10" s="53">
        <f>'Fixed Fee'!AC18*9</f>
        <v>0</v>
      </c>
      <c r="U10" s="53">
        <f>'Fixed Fee'!AD18*9</f>
        <v>0</v>
      </c>
      <c r="V10" s="53">
        <f>'Fixed Fee'!AE18*9</f>
        <v>0</v>
      </c>
      <c r="W10" s="53">
        <f>'Fixed Fee'!AF18*9</f>
        <v>0</v>
      </c>
      <c r="X10" s="53">
        <f>'Fixed Fee'!AG18*9</f>
        <v>0</v>
      </c>
      <c r="Y10" s="53">
        <f>'Fixed Fee'!AH18*9</f>
        <v>0</v>
      </c>
      <c r="Z10" s="53">
        <f>'Fixed Fee'!AI18*9</f>
        <v>0</v>
      </c>
      <c r="AA10" s="53">
        <f>'Fixed Fee'!AJ18*9</f>
        <v>0</v>
      </c>
      <c r="AB10" s="53">
        <f>'Fixed Fee'!AK18*9</f>
        <v>0</v>
      </c>
      <c r="AC10" s="53">
        <f>'Fixed Fee'!AL18*9</f>
        <v>0</v>
      </c>
      <c r="AD10" s="53">
        <f>'Fixed Fee'!AM18*9</f>
        <v>0</v>
      </c>
      <c r="AE10" s="53">
        <f>'Fixed Fee'!AN18*9</f>
        <v>0</v>
      </c>
      <c r="AF10" s="53">
        <f>'Fixed Fee'!AO18*9</f>
        <v>0</v>
      </c>
      <c r="AG10" s="53">
        <f>'Fixed Fee'!AP18*9</f>
        <v>0</v>
      </c>
      <c r="AH10" s="53">
        <f>'Fixed Fee'!AQ18*9</f>
        <v>0</v>
      </c>
      <c r="AI10" s="53">
        <f>'Fixed Fee'!AR18*9</f>
        <v>0</v>
      </c>
      <c r="AJ10" s="53">
        <f>'Fixed Fee'!AS18*9</f>
        <v>0</v>
      </c>
      <c r="AK10" s="53">
        <f>'Fixed Fee'!AT18*9</f>
        <v>0</v>
      </c>
      <c r="AL10" s="53">
        <f>'Fixed Fee'!AU18*9</f>
        <v>0</v>
      </c>
      <c r="AM10" s="53">
        <f>'Fixed Fee'!AV18*9</f>
        <v>0</v>
      </c>
      <c r="AN10" s="53">
        <f>'Fixed Fee'!AW18*9</f>
        <v>0</v>
      </c>
      <c r="AO10" s="53">
        <f>'Fixed Fee'!AX18*9</f>
        <v>0</v>
      </c>
      <c r="AP10" s="53">
        <f>'Fixed Fee'!AY18*9</f>
        <v>0</v>
      </c>
      <c r="AQ10" s="53">
        <f>'Fixed Fee'!AZ18*9</f>
        <v>0</v>
      </c>
      <c r="AR10" s="53">
        <f>'Fixed Fee'!BA18*9</f>
        <v>0</v>
      </c>
      <c r="AS10" s="53">
        <f>'Fixed Fee'!BB18*9</f>
        <v>0</v>
      </c>
      <c r="AT10" s="53">
        <f>'Fixed Fee'!BC18*9</f>
        <v>0</v>
      </c>
      <c r="AU10" s="53">
        <f>'Fixed Fee'!BD18*9</f>
        <v>0</v>
      </c>
      <c r="AV10" s="53">
        <f>'Fixed Fee'!BE18*9</f>
        <v>0</v>
      </c>
      <c r="AW10" s="53">
        <f>'Fixed Fee'!BF18*9</f>
        <v>0</v>
      </c>
      <c r="AX10" s="53">
        <f>'Fixed Fee'!BG18*9</f>
        <v>0</v>
      </c>
      <c r="AY10" s="53">
        <f>'Fixed Fee'!BH18*9</f>
        <v>0</v>
      </c>
      <c r="AZ10" s="53">
        <f>'Fixed Fee'!BI18*9</f>
        <v>0</v>
      </c>
      <c r="BA10" s="53">
        <f>'Fixed Fee'!BJ18*9</f>
        <v>0</v>
      </c>
      <c r="BB10" s="53">
        <f>'Fixed Fee'!BK18*9</f>
        <v>0</v>
      </c>
      <c r="BC10" s="53">
        <f>'Fixed Fee'!BL18*9</f>
        <v>0</v>
      </c>
      <c r="BD10" s="53">
        <f>'Fixed Fee'!BM18*9</f>
        <v>0</v>
      </c>
      <c r="BE10" s="53">
        <f>'Fixed Fee'!BN18*9</f>
        <v>0</v>
      </c>
      <c r="BF10" s="53">
        <f>'Fixed Fee'!BO18*9</f>
        <v>0</v>
      </c>
      <c r="BG10" s="53">
        <f>'Fixed Fee'!BP18*9</f>
        <v>0</v>
      </c>
      <c r="BH10" s="53">
        <f>'Fixed Fee'!BQ18*9</f>
        <v>0</v>
      </c>
      <c r="BI10" s="53">
        <f>'Fixed Fee'!BR18*9</f>
        <v>0</v>
      </c>
      <c r="BJ10" s="53">
        <f>'Fixed Fee'!BS18*9</f>
        <v>0</v>
      </c>
      <c r="BK10" s="53">
        <f>'Fixed Fee'!BT18*9</f>
        <v>0</v>
      </c>
      <c r="BL10" s="53">
        <f>'Fixed Fee'!BU18*9</f>
        <v>0</v>
      </c>
      <c r="BM10" s="53">
        <f>'Fixed Fee'!BV18*9</f>
        <v>0</v>
      </c>
      <c r="BN10" s="53">
        <f>'Fixed Fee'!BW18*9</f>
        <v>0</v>
      </c>
      <c r="BO10" s="53">
        <f>'Fixed Fee'!BX18*9</f>
        <v>0</v>
      </c>
      <c r="BP10" s="53">
        <f>'Fixed Fee'!BY18*9</f>
        <v>0</v>
      </c>
      <c r="BQ10" s="53">
        <f>'Fixed Fee'!BZ18*9</f>
        <v>0</v>
      </c>
      <c r="BR10" s="53">
        <f>'Fixed Fee'!CA18*9</f>
        <v>0</v>
      </c>
      <c r="BS10" s="53">
        <f>'Fixed Fee'!CB18*9</f>
        <v>0</v>
      </c>
      <c r="BT10" s="53">
        <f>'Fixed Fee'!CC18*9</f>
        <v>0</v>
      </c>
      <c r="BU10" s="53">
        <f>'Fixed Fee'!CD18*9</f>
        <v>0</v>
      </c>
      <c r="BV10" s="53">
        <f>'Fixed Fee'!CE18*9</f>
        <v>0</v>
      </c>
      <c r="BW10" s="53">
        <f>'Fixed Fee'!CF18*9</f>
        <v>0</v>
      </c>
      <c r="BX10" s="53">
        <f>'Fixed Fee'!CG18*9</f>
        <v>0</v>
      </c>
      <c r="BY10" s="53">
        <f>'Fixed Fee'!CH18*9</f>
        <v>0</v>
      </c>
    </row>
    <row r="11" spans="1:77" s="43" customFormat="1" ht="13" x14ac:dyDescent="0.45">
      <c r="A11" s="46" t="str">
        <f>'Fixed Fee'!C19</f>
        <v>Mizuno, Richard</v>
      </c>
      <c r="B11" s="53">
        <f>'Fixed Fee'!K19*9</f>
        <v>0</v>
      </c>
      <c r="C11" s="53">
        <f>'Fixed Fee'!L19*9</f>
        <v>0</v>
      </c>
      <c r="D11" s="53">
        <f>'Fixed Fee'!M19*9</f>
        <v>0</v>
      </c>
      <c r="E11" s="53">
        <f>'Fixed Fee'!N19*9</f>
        <v>0</v>
      </c>
      <c r="F11" s="53">
        <f>'Fixed Fee'!O19*9</f>
        <v>0</v>
      </c>
      <c r="G11" s="53">
        <f>'Fixed Fee'!P19*9</f>
        <v>0</v>
      </c>
      <c r="H11" s="53">
        <f>'Fixed Fee'!Q19*9</f>
        <v>0</v>
      </c>
      <c r="I11" s="53">
        <f>'Fixed Fee'!R19*9</f>
        <v>0</v>
      </c>
      <c r="J11" s="53">
        <f>'Fixed Fee'!S19*9</f>
        <v>0</v>
      </c>
      <c r="K11" s="53">
        <f>'Fixed Fee'!T19*9</f>
        <v>0</v>
      </c>
      <c r="L11" s="53">
        <f>'Fixed Fee'!U19*9</f>
        <v>0</v>
      </c>
      <c r="M11" s="53">
        <f>'Fixed Fee'!V19*9</f>
        <v>0</v>
      </c>
      <c r="N11" s="53">
        <f>'Fixed Fee'!W19*9</f>
        <v>0</v>
      </c>
      <c r="O11" s="53">
        <f>'Fixed Fee'!X19*9</f>
        <v>0</v>
      </c>
      <c r="P11" s="53">
        <f>'Fixed Fee'!Y19*9</f>
        <v>0</v>
      </c>
      <c r="Q11" s="53">
        <f>'Fixed Fee'!Z19*9</f>
        <v>0</v>
      </c>
      <c r="R11" s="53">
        <f>'Fixed Fee'!AA19*9</f>
        <v>18</v>
      </c>
      <c r="S11" s="53">
        <f>'Fixed Fee'!AB19*9</f>
        <v>0</v>
      </c>
      <c r="T11" s="53">
        <f>'Fixed Fee'!AC19*9</f>
        <v>0</v>
      </c>
      <c r="U11" s="53">
        <f>'Fixed Fee'!AD19*9</f>
        <v>0</v>
      </c>
      <c r="V11" s="53">
        <f>'Fixed Fee'!AE19*9</f>
        <v>0</v>
      </c>
      <c r="W11" s="53">
        <f>'Fixed Fee'!AF19*9</f>
        <v>0</v>
      </c>
      <c r="X11" s="53">
        <f>'Fixed Fee'!AG19*9</f>
        <v>0</v>
      </c>
      <c r="Y11" s="53">
        <f>'Fixed Fee'!AH19*9</f>
        <v>0</v>
      </c>
      <c r="Z11" s="53">
        <f>'Fixed Fee'!AI19*9</f>
        <v>0</v>
      </c>
      <c r="AA11" s="53">
        <f>'Fixed Fee'!AJ19*9</f>
        <v>0</v>
      </c>
      <c r="AB11" s="53">
        <f>'Fixed Fee'!AK19*9</f>
        <v>0</v>
      </c>
      <c r="AC11" s="53">
        <f>'Fixed Fee'!AL19*9</f>
        <v>0</v>
      </c>
      <c r="AD11" s="53">
        <f>'Fixed Fee'!AM19*9</f>
        <v>0</v>
      </c>
      <c r="AE11" s="53">
        <f>'Fixed Fee'!AN19*9</f>
        <v>0</v>
      </c>
      <c r="AF11" s="53">
        <f>'Fixed Fee'!AO19*9</f>
        <v>0</v>
      </c>
      <c r="AG11" s="53">
        <f>'Fixed Fee'!AP19*9</f>
        <v>0</v>
      </c>
      <c r="AH11" s="53">
        <f>'Fixed Fee'!AQ19*9</f>
        <v>0</v>
      </c>
      <c r="AI11" s="53">
        <f>'Fixed Fee'!AR19*9</f>
        <v>0</v>
      </c>
      <c r="AJ11" s="53">
        <f>'Fixed Fee'!AS19*9</f>
        <v>0</v>
      </c>
      <c r="AK11" s="53">
        <f>'Fixed Fee'!AT19*9</f>
        <v>0</v>
      </c>
      <c r="AL11" s="53">
        <f>'Fixed Fee'!AU19*9</f>
        <v>0</v>
      </c>
      <c r="AM11" s="53">
        <f>'Fixed Fee'!AV19*9</f>
        <v>0</v>
      </c>
      <c r="AN11" s="53">
        <f>'Fixed Fee'!AW19*9</f>
        <v>0</v>
      </c>
      <c r="AO11" s="53">
        <f>'Fixed Fee'!AX19*9</f>
        <v>0</v>
      </c>
      <c r="AP11" s="53">
        <f>'Fixed Fee'!AY19*9</f>
        <v>0</v>
      </c>
      <c r="AQ11" s="53">
        <f>'Fixed Fee'!AZ19*9</f>
        <v>0</v>
      </c>
      <c r="AR11" s="53">
        <f>'Fixed Fee'!BA19*9</f>
        <v>0</v>
      </c>
      <c r="AS11" s="53">
        <f>'Fixed Fee'!BB19*9</f>
        <v>0</v>
      </c>
      <c r="AT11" s="53">
        <f>'Fixed Fee'!BC19*9</f>
        <v>0</v>
      </c>
      <c r="AU11" s="53">
        <f>'Fixed Fee'!BD19*9</f>
        <v>0</v>
      </c>
      <c r="AV11" s="53">
        <f>'Fixed Fee'!BE19*9</f>
        <v>0</v>
      </c>
      <c r="AW11" s="53">
        <f>'Fixed Fee'!BF19*9</f>
        <v>0</v>
      </c>
      <c r="AX11" s="53">
        <f>'Fixed Fee'!BG19*9</f>
        <v>0</v>
      </c>
      <c r="AY11" s="53">
        <f>'Fixed Fee'!BH19*9</f>
        <v>0</v>
      </c>
      <c r="AZ11" s="53">
        <f>'Fixed Fee'!BI19*9</f>
        <v>0</v>
      </c>
      <c r="BA11" s="53">
        <f>'Fixed Fee'!BJ19*9</f>
        <v>0</v>
      </c>
      <c r="BB11" s="53">
        <f>'Fixed Fee'!BK19*9</f>
        <v>0</v>
      </c>
      <c r="BC11" s="53">
        <f>'Fixed Fee'!BL19*9</f>
        <v>0</v>
      </c>
      <c r="BD11" s="53">
        <f>'Fixed Fee'!BM19*9</f>
        <v>0</v>
      </c>
      <c r="BE11" s="53">
        <f>'Fixed Fee'!BN19*9</f>
        <v>0</v>
      </c>
      <c r="BF11" s="53">
        <f>'Fixed Fee'!BO19*9</f>
        <v>0</v>
      </c>
      <c r="BG11" s="53">
        <f>'Fixed Fee'!BP19*9</f>
        <v>0</v>
      </c>
      <c r="BH11" s="53">
        <f>'Fixed Fee'!BQ19*9</f>
        <v>0</v>
      </c>
      <c r="BI11" s="53">
        <f>'Fixed Fee'!BR19*9</f>
        <v>0</v>
      </c>
      <c r="BJ11" s="53">
        <f>'Fixed Fee'!BS19*9</f>
        <v>0</v>
      </c>
      <c r="BK11" s="53">
        <f>'Fixed Fee'!BT19*9</f>
        <v>0</v>
      </c>
      <c r="BL11" s="53">
        <f>'Fixed Fee'!BU19*9</f>
        <v>0</v>
      </c>
      <c r="BM11" s="53">
        <f>'Fixed Fee'!BV19*9</f>
        <v>0</v>
      </c>
      <c r="BN11" s="53">
        <f>'Fixed Fee'!BW19*9</f>
        <v>0</v>
      </c>
      <c r="BO11" s="53">
        <f>'Fixed Fee'!BX19*9</f>
        <v>0</v>
      </c>
      <c r="BP11" s="53">
        <f>'Fixed Fee'!BY19*9</f>
        <v>0</v>
      </c>
      <c r="BQ11" s="53">
        <f>'Fixed Fee'!BZ19*9</f>
        <v>0</v>
      </c>
      <c r="BR11" s="53">
        <f>'Fixed Fee'!CA19*9</f>
        <v>0</v>
      </c>
      <c r="BS11" s="53">
        <f>'Fixed Fee'!CB19*9</f>
        <v>0</v>
      </c>
      <c r="BT11" s="53">
        <f>'Fixed Fee'!CC19*9</f>
        <v>0</v>
      </c>
      <c r="BU11" s="53">
        <f>'Fixed Fee'!CD19*9</f>
        <v>0</v>
      </c>
      <c r="BV11" s="53">
        <f>'Fixed Fee'!CE19*9</f>
        <v>0</v>
      </c>
      <c r="BW11" s="53">
        <f>'Fixed Fee'!CF19*9</f>
        <v>0</v>
      </c>
      <c r="BX11" s="53">
        <f>'Fixed Fee'!CG19*9</f>
        <v>0</v>
      </c>
      <c r="BY11" s="53">
        <f>'Fixed Fee'!CH19*9</f>
        <v>0</v>
      </c>
    </row>
    <row r="12" spans="1:77" s="43" customFormat="1" ht="13" x14ac:dyDescent="0.45">
      <c r="A12" s="46" t="str">
        <f>'Fixed Fee'!C20</f>
        <v>Alvarado, Adriana</v>
      </c>
      <c r="B12" s="53">
        <f>'Fixed Fee'!K20*9</f>
        <v>45</v>
      </c>
      <c r="C12" s="53">
        <f>'Fixed Fee'!L20*9</f>
        <v>45</v>
      </c>
      <c r="D12" s="53">
        <f>'Fixed Fee'!M20*9</f>
        <v>45</v>
      </c>
      <c r="E12" s="53">
        <f>'Fixed Fee'!N20*9</f>
        <v>45</v>
      </c>
      <c r="F12" s="53">
        <f>'Fixed Fee'!O20*9</f>
        <v>45</v>
      </c>
      <c r="G12" s="53">
        <f>'Fixed Fee'!P20*9</f>
        <v>45</v>
      </c>
      <c r="H12" s="53">
        <f>'Fixed Fee'!Q20*9</f>
        <v>45</v>
      </c>
      <c r="I12" s="53">
        <f>'Fixed Fee'!R20*9</f>
        <v>45</v>
      </c>
      <c r="J12" s="53">
        <f>'Fixed Fee'!S20*9</f>
        <v>45</v>
      </c>
      <c r="K12" s="53">
        <f>'Fixed Fee'!T20*9</f>
        <v>45</v>
      </c>
      <c r="L12" s="53">
        <f>'Fixed Fee'!U20*9</f>
        <v>45</v>
      </c>
      <c r="M12" s="53">
        <f>'Fixed Fee'!V20*9</f>
        <v>0</v>
      </c>
      <c r="N12" s="53">
        <f>'Fixed Fee'!W20*9</f>
        <v>0</v>
      </c>
      <c r="O12" s="53">
        <f>'Fixed Fee'!X20*9</f>
        <v>45</v>
      </c>
      <c r="P12" s="53">
        <f>'Fixed Fee'!Y20*9</f>
        <v>45</v>
      </c>
      <c r="Q12" s="53">
        <f>'Fixed Fee'!Z20*9</f>
        <v>45</v>
      </c>
      <c r="R12" s="53">
        <f>'Fixed Fee'!AA20*9</f>
        <v>45</v>
      </c>
      <c r="S12" s="53">
        <f>'Fixed Fee'!AB20*9</f>
        <v>0</v>
      </c>
      <c r="T12" s="53">
        <f>'Fixed Fee'!AC20*9</f>
        <v>0</v>
      </c>
      <c r="U12" s="53">
        <f>'Fixed Fee'!AD20*9</f>
        <v>0</v>
      </c>
      <c r="V12" s="53">
        <f>'Fixed Fee'!AE20*9</f>
        <v>0</v>
      </c>
      <c r="W12" s="53">
        <f>'Fixed Fee'!AF20*9</f>
        <v>0</v>
      </c>
      <c r="X12" s="53">
        <f>'Fixed Fee'!AG20*9</f>
        <v>0</v>
      </c>
      <c r="Y12" s="53">
        <f>'Fixed Fee'!AH20*9</f>
        <v>0</v>
      </c>
      <c r="Z12" s="53">
        <f>'Fixed Fee'!AI20*9</f>
        <v>0</v>
      </c>
      <c r="AA12" s="53">
        <f>'Fixed Fee'!AJ20*9</f>
        <v>0</v>
      </c>
      <c r="AB12" s="53">
        <f>'Fixed Fee'!AK20*9</f>
        <v>0</v>
      </c>
      <c r="AC12" s="53">
        <f>'Fixed Fee'!AL20*9</f>
        <v>0</v>
      </c>
      <c r="AD12" s="53">
        <f>'Fixed Fee'!AM20*9</f>
        <v>0</v>
      </c>
      <c r="AE12" s="53">
        <f>'Fixed Fee'!AN20*9</f>
        <v>0</v>
      </c>
      <c r="AF12" s="53">
        <f>'Fixed Fee'!AO20*9</f>
        <v>0</v>
      </c>
      <c r="AG12" s="53">
        <f>'Fixed Fee'!AP20*9</f>
        <v>0</v>
      </c>
      <c r="AH12" s="53">
        <f>'Fixed Fee'!AQ20*9</f>
        <v>0</v>
      </c>
      <c r="AI12" s="53">
        <f>'Fixed Fee'!AR20*9</f>
        <v>0</v>
      </c>
      <c r="AJ12" s="53">
        <f>'Fixed Fee'!AS20*9</f>
        <v>0</v>
      </c>
      <c r="AK12" s="53">
        <f>'Fixed Fee'!AT20*9</f>
        <v>0</v>
      </c>
      <c r="AL12" s="53">
        <f>'Fixed Fee'!AU20*9</f>
        <v>0</v>
      </c>
      <c r="AM12" s="53">
        <f>'Fixed Fee'!AV20*9</f>
        <v>0</v>
      </c>
      <c r="AN12" s="53">
        <f>'Fixed Fee'!AW20*9</f>
        <v>0</v>
      </c>
      <c r="AO12" s="53">
        <f>'Fixed Fee'!AX20*9</f>
        <v>0</v>
      </c>
      <c r="AP12" s="53">
        <f>'Fixed Fee'!AY20*9</f>
        <v>0</v>
      </c>
      <c r="AQ12" s="53">
        <f>'Fixed Fee'!AZ20*9</f>
        <v>0</v>
      </c>
      <c r="AR12" s="53">
        <f>'Fixed Fee'!BA20*9</f>
        <v>0</v>
      </c>
      <c r="AS12" s="53">
        <f>'Fixed Fee'!BB20*9</f>
        <v>0</v>
      </c>
      <c r="AT12" s="53">
        <f>'Fixed Fee'!BC20*9</f>
        <v>0</v>
      </c>
      <c r="AU12" s="53">
        <f>'Fixed Fee'!BD20*9</f>
        <v>0</v>
      </c>
      <c r="AV12" s="53">
        <f>'Fixed Fee'!BE20*9</f>
        <v>0</v>
      </c>
      <c r="AW12" s="53">
        <f>'Fixed Fee'!BF20*9</f>
        <v>0</v>
      </c>
      <c r="AX12" s="53">
        <f>'Fixed Fee'!BG20*9</f>
        <v>0</v>
      </c>
      <c r="AY12" s="53">
        <f>'Fixed Fee'!BH20*9</f>
        <v>0</v>
      </c>
      <c r="AZ12" s="53">
        <f>'Fixed Fee'!BI20*9</f>
        <v>0</v>
      </c>
      <c r="BA12" s="53">
        <f>'Fixed Fee'!BJ20*9</f>
        <v>0</v>
      </c>
      <c r="BB12" s="53">
        <f>'Fixed Fee'!BK20*9</f>
        <v>0</v>
      </c>
      <c r="BC12" s="53">
        <f>'Fixed Fee'!BL20*9</f>
        <v>0</v>
      </c>
      <c r="BD12" s="53">
        <f>'Fixed Fee'!BM20*9</f>
        <v>0</v>
      </c>
      <c r="BE12" s="53">
        <f>'Fixed Fee'!BN20*9</f>
        <v>0</v>
      </c>
      <c r="BF12" s="53">
        <f>'Fixed Fee'!BO20*9</f>
        <v>0</v>
      </c>
      <c r="BG12" s="53">
        <f>'Fixed Fee'!BP20*9</f>
        <v>0</v>
      </c>
      <c r="BH12" s="53">
        <f>'Fixed Fee'!BQ20*9</f>
        <v>0</v>
      </c>
      <c r="BI12" s="53">
        <f>'Fixed Fee'!BR20*9</f>
        <v>0</v>
      </c>
      <c r="BJ12" s="53">
        <f>'Fixed Fee'!BS20*9</f>
        <v>0</v>
      </c>
      <c r="BK12" s="53">
        <f>'Fixed Fee'!BT20*9</f>
        <v>0</v>
      </c>
      <c r="BL12" s="53">
        <f>'Fixed Fee'!BU20*9</f>
        <v>0</v>
      </c>
      <c r="BM12" s="53">
        <f>'Fixed Fee'!BV20*9</f>
        <v>0</v>
      </c>
      <c r="BN12" s="53">
        <f>'Fixed Fee'!BW20*9</f>
        <v>0</v>
      </c>
      <c r="BO12" s="53">
        <f>'Fixed Fee'!BX20*9</f>
        <v>0</v>
      </c>
      <c r="BP12" s="53">
        <f>'Fixed Fee'!BY20*9</f>
        <v>0</v>
      </c>
      <c r="BQ12" s="53">
        <f>'Fixed Fee'!BZ20*9</f>
        <v>0</v>
      </c>
      <c r="BR12" s="53">
        <f>'Fixed Fee'!CA20*9</f>
        <v>0</v>
      </c>
      <c r="BS12" s="53">
        <f>'Fixed Fee'!CB20*9</f>
        <v>0</v>
      </c>
      <c r="BT12" s="53">
        <f>'Fixed Fee'!CC20*9</f>
        <v>0</v>
      </c>
      <c r="BU12" s="53">
        <f>'Fixed Fee'!CD20*9</f>
        <v>0</v>
      </c>
      <c r="BV12" s="53">
        <f>'Fixed Fee'!CE20*9</f>
        <v>0</v>
      </c>
      <c r="BW12" s="53">
        <f>'Fixed Fee'!CF20*9</f>
        <v>0</v>
      </c>
      <c r="BX12" s="53">
        <f>'Fixed Fee'!CG20*9</f>
        <v>0</v>
      </c>
      <c r="BY12" s="53">
        <f>'Fixed Fee'!CH20*9</f>
        <v>0</v>
      </c>
    </row>
    <row r="13" spans="1:77" s="43" customFormat="1" ht="13" x14ac:dyDescent="0.45">
      <c r="A13" s="46">
        <f>'Fixed Fee'!C21</f>
        <v>0</v>
      </c>
      <c r="B13" s="53">
        <f>'Fixed Fee'!K21*9</f>
        <v>0</v>
      </c>
      <c r="C13" s="53">
        <f>'Fixed Fee'!L21*9</f>
        <v>0</v>
      </c>
      <c r="D13" s="53">
        <f>'Fixed Fee'!M21*9</f>
        <v>0</v>
      </c>
      <c r="E13" s="53">
        <f>'Fixed Fee'!N21*9</f>
        <v>0</v>
      </c>
      <c r="F13" s="53">
        <f>'Fixed Fee'!O21*9</f>
        <v>0</v>
      </c>
      <c r="G13" s="53">
        <f>'Fixed Fee'!P21*9</f>
        <v>0</v>
      </c>
      <c r="H13" s="53">
        <f>'Fixed Fee'!Q21*9</f>
        <v>0</v>
      </c>
      <c r="I13" s="53">
        <f>'Fixed Fee'!R21*9</f>
        <v>0</v>
      </c>
      <c r="J13" s="53">
        <f>'Fixed Fee'!S21*9</f>
        <v>0</v>
      </c>
      <c r="K13" s="53">
        <f>'Fixed Fee'!T21*9</f>
        <v>0</v>
      </c>
      <c r="L13" s="53">
        <f>'Fixed Fee'!U21*9</f>
        <v>0</v>
      </c>
      <c r="M13" s="53">
        <f>'Fixed Fee'!V21*9</f>
        <v>0</v>
      </c>
      <c r="N13" s="53">
        <f>'Fixed Fee'!W21*9</f>
        <v>0</v>
      </c>
      <c r="O13" s="53">
        <f>'Fixed Fee'!X21*9</f>
        <v>0</v>
      </c>
      <c r="P13" s="53">
        <f>'Fixed Fee'!Y21*9</f>
        <v>0</v>
      </c>
      <c r="Q13" s="53">
        <f>'Fixed Fee'!Z21*9</f>
        <v>0</v>
      </c>
      <c r="R13" s="53">
        <f>'Fixed Fee'!AA21*9</f>
        <v>0</v>
      </c>
      <c r="S13" s="53">
        <f>'Fixed Fee'!AB21*9</f>
        <v>0</v>
      </c>
      <c r="T13" s="53">
        <f>'Fixed Fee'!AC21*9</f>
        <v>0</v>
      </c>
      <c r="U13" s="53">
        <f>'Fixed Fee'!AD21*9</f>
        <v>0</v>
      </c>
      <c r="V13" s="53">
        <f>'Fixed Fee'!AE21*9</f>
        <v>0</v>
      </c>
      <c r="W13" s="53">
        <f>'Fixed Fee'!AF21*9</f>
        <v>0</v>
      </c>
      <c r="X13" s="53">
        <f>'Fixed Fee'!AG21*9</f>
        <v>0</v>
      </c>
      <c r="Y13" s="53">
        <f>'Fixed Fee'!AH21*9</f>
        <v>0</v>
      </c>
      <c r="Z13" s="53">
        <f>'Fixed Fee'!AI21*9</f>
        <v>0</v>
      </c>
      <c r="AA13" s="53">
        <f>'Fixed Fee'!AJ21*9</f>
        <v>0</v>
      </c>
      <c r="AB13" s="53">
        <f>'Fixed Fee'!AK21*9</f>
        <v>0</v>
      </c>
      <c r="AC13" s="53">
        <f>'Fixed Fee'!AL21*9</f>
        <v>0</v>
      </c>
      <c r="AD13" s="53">
        <f>'Fixed Fee'!AM21*9</f>
        <v>0</v>
      </c>
      <c r="AE13" s="53">
        <f>'Fixed Fee'!AN21*9</f>
        <v>0</v>
      </c>
      <c r="AF13" s="53">
        <f>'Fixed Fee'!AO21*9</f>
        <v>0</v>
      </c>
      <c r="AG13" s="53">
        <f>'Fixed Fee'!AP21*9</f>
        <v>0</v>
      </c>
      <c r="AH13" s="53">
        <f>'Fixed Fee'!AQ21*9</f>
        <v>0</v>
      </c>
      <c r="AI13" s="53">
        <f>'Fixed Fee'!AR21*9</f>
        <v>0</v>
      </c>
      <c r="AJ13" s="53">
        <f>'Fixed Fee'!AS21*9</f>
        <v>0</v>
      </c>
      <c r="AK13" s="53">
        <f>'Fixed Fee'!AT21*9</f>
        <v>0</v>
      </c>
      <c r="AL13" s="53">
        <f>'Fixed Fee'!AU21*9</f>
        <v>0</v>
      </c>
      <c r="AM13" s="53">
        <f>'Fixed Fee'!AV21*9</f>
        <v>0</v>
      </c>
      <c r="AN13" s="53">
        <f>'Fixed Fee'!AW21*9</f>
        <v>0</v>
      </c>
      <c r="AO13" s="53">
        <f>'Fixed Fee'!AX21*9</f>
        <v>0</v>
      </c>
      <c r="AP13" s="53">
        <f>'Fixed Fee'!AY21*9</f>
        <v>0</v>
      </c>
      <c r="AQ13" s="53">
        <f>'Fixed Fee'!AZ21*9</f>
        <v>0</v>
      </c>
      <c r="AR13" s="53">
        <f>'Fixed Fee'!BA21*9</f>
        <v>0</v>
      </c>
      <c r="AS13" s="53">
        <f>'Fixed Fee'!BB21*9</f>
        <v>0</v>
      </c>
      <c r="AT13" s="53">
        <f>'Fixed Fee'!BC21*9</f>
        <v>0</v>
      </c>
      <c r="AU13" s="53">
        <f>'Fixed Fee'!BD21*9</f>
        <v>0</v>
      </c>
      <c r="AV13" s="53">
        <f>'Fixed Fee'!BE21*9</f>
        <v>0</v>
      </c>
      <c r="AW13" s="53">
        <f>'Fixed Fee'!BF21*9</f>
        <v>0</v>
      </c>
      <c r="AX13" s="53">
        <f>'Fixed Fee'!BG21*9</f>
        <v>0</v>
      </c>
      <c r="AY13" s="53">
        <f>'Fixed Fee'!BH21*9</f>
        <v>0</v>
      </c>
      <c r="AZ13" s="53">
        <f>'Fixed Fee'!BI21*9</f>
        <v>0</v>
      </c>
      <c r="BA13" s="53">
        <f>'Fixed Fee'!BJ21*9</f>
        <v>0</v>
      </c>
      <c r="BB13" s="53">
        <f>'Fixed Fee'!BK21*9</f>
        <v>0</v>
      </c>
      <c r="BC13" s="53">
        <f>'Fixed Fee'!BL21*9</f>
        <v>0</v>
      </c>
      <c r="BD13" s="53">
        <f>'Fixed Fee'!BM21*9</f>
        <v>0</v>
      </c>
      <c r="BE13" s="53">
        <f>'Fixed Fee'!BN21*9</f>
        <v>0</v>
      </c>
      <c r="BF13" s="53">
        <f>'Fixed Fee'!BO21*9</f>
        <v>0</v>
      </c>
      <c r="BG13" s="53">
        <f>'Fixed Fee'!BP21*9</f>
        <v>0</v>
      </c>
      <c r="BH13" s="53">
        <f>'Fixed Fee'!BQ21*9</f>
        <v>0</v>
      </c>
      <c r="BI13" s="53">
        <f>'Fixed Fee'!BR21*9</f>
        <v>0</v>
      </c>
      <c r="BJ13" s="53">
        <f>'Fixed Fee'!BS21*9</f>
        <v>0</v>
      </c>
      <c r="BK13" s="53">
        <f>'Fixed Fee'!BT21*9</f>
        <v>0</v>
      </c>
      <c r="BL13" s="53">
        <f>'Fixed Fee'!BU21*9</f>
        <v>0</v>
      </c>
      <c r="BM13" s="53">
        <f>'Fixed Fee'!BV21*9</f>
        <v>0</v>
      </c>
      <c r="BN13" s="53">
        <f>'Fixed Fee'!BW21*9</f>
        <v>0</v>
      </c>
      <c r="BO13" s="53">
        <f>'Fixed Fee'!BX21*9</f>
        <v>0</v>
      </c>
      <c r="BP13" s="53">
        <f>'Fixed Fee'!BY21*9</f>
        <v>0</v>
      </c>
      <c r="BQ13" s="53">
        <f>'Fixed Fee'!BZ21*9</f>
        <v>0</v>
      </c>
      <c r="BR13" s="53">
        <f>'Fixed Fee'!CA21*9</f>
        <v>0</v>
      </c>
      <c r="BS13" s="53">
        <f>'Fixed Fee'!CB21*9</f>
        <v>0</v>
      </c>
      <c r="BT13" s="53">
        <f>'Fixed Fee'!CC21*9</f>
        <v>0</v>
      </c>
      <c r="BU13" s="53">
        <f>'Fixed Fee'!CD21*9</f>
        <v>0</v>
      </c>
      <c r="BV13" s="53">
        <f>'Fixed Fee'!CE21*9</f>
        <v>0</v>
      </c>
      <c r="BW13" s="53">
        <f>'Fixed Fee'!CF21*9</f>
        <v>0</v>
      </c>
      <c r="BX13" s="53">
        <f>'Fixed Fee'!CG21*9</f>
        <v>0</v>
      </c>
      <c r="BY13" s="53">
        <f>'Fixed Fee'!CH21*9</f>
        <v>0</v>
      </c>
    </row>
    <row r="14" spans="1:77" s="43" customFormat="1" ht="13" x14ac:dyDescent="0.45">
      <c r="A14" s="46">
        <f>'Fixed Fee'!C22</f>
        <v>0</v>
      </c>
      <c r="B14" s="53">
        <f>'Fixed Fee'!K22*9</f>
        <v>0</v>
      </c>
      <c r="C14" s="53">
        <f>'Fixed Fee'!L22*9</f>
        <v>0</v>
      </c>
      <c r="D14" s="53">
        <f>'Fixed Fee'!M22*9</f>
        <v>0</v>
      </c>
      <c r="E14" s="53">
        <f>'Fixed Fee'!N22*9</f>
        <v>0</v>
      </c>
      <c r="F14" s="53">
        <f>'Fixed Fee'!O22*9</f>
        <v>0</v>
      </c>
      <c r="G14" s="53">
        <f>'Fixed Fee'!P22*9</f>
        <v>0</v>
      </c>
      <c r="H14" s="53">
        <f>'Fixed Fee'!Q22*9</f>
        <v>0</v>
      </c>
      <c r="I14" s="53">
        <f>'Fixed Fee'!R22*9</f>
        <v>0</v>
      </c>
      <c r="J14" s="53">
        <f>'Fixed Fee'!S22*9</f>
        <v>0</v>
      </c>
      <c r="K14" s="53">
        <f>'Fixed Fee'!T22*9</f>
        <v>0</v>
      </c>
      <c r="L14" s="53">
        <f>'Fixed Fee'!U22*9</f>
        <v>0</v>
      </c>
      <c r="M14" s="53">
        <f>'Fixed Fee'!V22*9</f>
        <v>0</v>
      </c>
      <c r="N14" s="53">
        <f>'Fixed Fee'!W22*9</f>
        <v>0</v>
      </c>
      <c r="O14" s="53">
        <f>'Fixed Fee'!X22*9</f>
        <v>0</v>
      </c>
      <c r="P14" s="53">
        <f>'Fixed Fee'!Y22*9</f>
        <v>0</v>
      </c>
      <c r="Q14" s="53">
        <f>'Fixed Fee'!Z22*9</f>
        <v>0</v>
      </c>
      <c r="R14" s="53">
        <f>'Fixed Fee'!AA22*9</f>
        <v>0</v>
      </c>
      <c r="S14" s="53">
        <f>'Fixed Fee'!AB22*9</f>
        <v>0</v>
      </c>
      <c r="T14" s="53">
        <f>'Fixed Fee'!AC22*9</f>
        <v>0</v>
      </c>
      <c r="U14" s="53">
        <f>'Fixed Fee'!AD22*9</f>
        <v>0</v>
      </c>
      <c r="V14" s="53">
        <f>'Fixed Fee'!AE22*9</f>
        <v>0</v>
      </c>
      <c r="W14" s="53">
        <f>'Fixed Fee'!AF22*9</f>
        <v>0</v>
      </c>
      <c r="X14" s="53">
        <f>'Fixed Fee'!AG22*9</f>
        <v>0</v>
      </c>
      <c r="Y14" s="53">
        <f>'Fixed Fee'!AH22*9</f>
        <v>0</v>
      </c>
      <c r="Z14" s="53">
        <f>'Fixed Fee'!AI22*9</f>
        <v>0</v>
      </c>
      <c r="AA14" s="53">
        <f>'Fixed Fee'!AJ22*9</f>
        <v>0</v>
      </c>
      <c r="AB14" s="53">
        <f>'Fixed Fee'!AK22*9</f>
        <v>0</v>
      </c>
      <c r="AC14" s="53">
        <f>'Fixed Fee'!AL22*9</f>
        <v>0</v>
      </c>
      <c r="AD14" s="53">
        <f>'Fixed Fee'!AM22*9</f>
        <v>0</v>
      </c>
      <c r="AE14" s="53">
        <f>'Fixed Fee'!AN22*9</f>
        <v>0</v>
      </c>
      <c r="AF14" s="53">
        <f>'Fixed Fee'!AO22*9</f>
        <v>0</v>
      </c>
      <c r="AG14" s="53">
        <f>'Fixed Fee'!AP22*9</f>
        <v>0</v>
      </c>
      <c r="AH14" s="53">
        <f>'Fixed Fee'!AQ22*9</f>
        <v>0</v>
      </c>
      <c r="AI14" s="53">
        <f>'Fixed Fee'!AR22*9</f>
        <v>0</v>
      </c>
      <c r="AJ14" s="53">
        <f>'Fixed Fee'!AS22*9</f>
        <v>0</v>
      </c>
      <c r="AK14" s="53">
        <f>'Fixed Fee'!AT22*9</f>
        <v>0</v>
      </c>
      <c r="AL14" s="53">
        <f>'Fixed Fee'!AU22*9</f>
        <v>0</v>
      </c>
      <c r="AM14" s="53">
        <f>'Fixed Fee'!AV22*9</f>
        <v>0</v>
      </c>
      <c r="AN14" s="53">
        <f>'Fixed Fee'!AW22*9</f>
        <v>0</v>
      </c>
      <c r="AO14" s="53">
        <f>'Fixed Fee'!AX22*9</f>
        <v>0</v>
      </c>
      <c r="AP14" s="53">
        <f>'Fixed Fee'!AY22*9</f>
        <v>0</v>
      </c>
      <c r="AQ14" s="53">
        <f>'Fixed Fee'!AZ22*9</f>
        <v>0</v>
      </c>
      <c r="AR14" s="53">
        <f>'Fixed Fee'!BA22*9</f>
        <v>0</v>
      </c>
      <c r="AS14" s="53">
        <f>'Fixed Fee'!BB22*9</f>
        <v>0</v>
      </c>
      <c r="AT14" s="53">
        <f>'Fixed Fee'!BC22*9</f>
        <v>0</v>
      </c>
      <c r="AU14" s="53">
        <f>'Fixed Fee'!BD22*9</f>
        <v>0</v>
      </c>
      <c r="AV14" s="53">
        <f>'Fixed Fee'!BE22*9</f>
        <v>0</v>
      </c>
      <c r="AW14" s="53">
        <f>'Fixed Fee'!BF22*9</f>
        <v>0</v>
      </c>
      <c r="AX14" s="53">
        <f>'Fixed Fee'!BG22*9</f>
        <v>0</v>
      </c>
      <c r="AY14" s="53">
        <f>'Fixed Fee'!BH22*9</f>
        <v>0</v>
      </c>
      <c r="AZ14" s="53">
        <f>'Fixed Fee'!BI22*9</f>
        <v>0</v>
      </c>
      <c r="BA14" s="53">
        <f>'Fixed Fee'!BJ22*9</f>
        <v>0</v>
      </c>
      <c r="BB14" s="53">
        <f>'Fixed Fee'!BK22*9</f>
        <v>0</v>
      </c>
      <c r="BC14" s="53">
        <f>'Fixed Fee'!BL22*9</f>
        <v>0</v>
      </c>
      <c r="BD14" s="53">
        <f>'Fixed Fee'!BM22*9</f>
        <v>0</v>
      </c>
      <c r="BE14" s="53">
        <f>'Fixed Fee'!BN22*9</f>
        <v>0</v>
      </c>
      <c r="BF14" s="53">
        <f>'Fixed Fee'!BO22*9</f>
        <v>0</v>
      </c>
      <c r="BG14" s="53">
        <f>'Fixed Fee'!BP22*9</f>
        <v>0</v>
      </c>
      <c r="BH14" s="53">
        <f>'Fixed Fee'!BQ22*9</f>
        <v>0</v>
      </c>
      <c r="BI14" s="53">
        <f>'Fixed Fee'!BR22*9</f>
        <v>0</v>
      </c>
      <c r="BJ14" s="53">
        <f>'Fixed Fee'!BS22*9</f>
        <v>0</v>
      </c>
      <c r="BK14" s="53">
        <f>'Fixed Fee'!BT22*9</f>
        <v>0</v>
      </c>
      <c r="BL14" s="53">
        <f>'Fixed Fee'!BU22*9</f>
        <v>0</v>
      </c>
      <c r="BM14" s="53">
        <f>'Fixed Fee'!BV22*9</f>
        <v>0</v>
      </c>
      <c r="BN14" s="53">
        <f>'Fixed Fee'!BW22*9</f>
        <v>0</v>
      </c>
      <c r="BO14" s="53">
        <f>'Fixed Fee'!BX22*9</f>
        <v>0</v>
      </c>
      <c r="BP14" s="53">
        <f>'Fixed Fee'!BY22*9</f>
        <v>0</v>
      </c>
      <c r="BQ14" s="53">
        <f>'Fixed Fee'!BZ22*9</f>
        <v>0</v>
      </c>
      <c r="BR14" s="53">
        <f>'Fixed Fee'!CA22*9</f>
        <v>0</v>
      </c>
      <c r="BS14" s="53">
        <f>'Fixed Fee'!CB22*9</f>
        <v>0</v>
      </c>
      <c r="BT14" s="53">
        <f>'Fixed Fee'!CC22*9</f>
        <v>0</v>
      </c>
      <c r="BU14" s="53">
        <f>'Fixed Fee'!CD22*9</f>
        <v>0</v>
      </c>
      <c r="BV14" s="53">
        <f>'Fixed Fee'!CE22*9</f>
        <v>0</v>
      </c>
      <c r="BW14" s="53">
        <f>'Fixed Fee'!CF22*9</f>
        <v>0</v>
      </c>
      <c r="BX14" s="53">
        <f>'Fixed Fee'!CG22*9</f>
        <v>0</v>
      </c>
      <c r="BY14" s="53">
        <f>'Fixed Fee'!CH22*9</f>
        <v>0</v>
      </c>
    </row>
    <row r="15" spans="1:77" s="43" customFormat="1" ht="13" x14ac:dyDescent="0.45">
      <c r="A15" s="46">
        <f>'Fixed Fee'!C23</f>
        <v>0</v>
      </c>
      <c r="B15" s="53">
        <f>'Fixed Fee'!K23*9</f>
        <v>0</v>
      </c>
      <c r="C15" s="53">
        <f>'Fixed Fee'!L23*9</f>
        <v>0</v>
      </c>
      <c r="D15" s="53">
        <f>'Fixed Fee'!M23*9</f>
        <v>0</v>
      </c>
      <c r="E15" s="53">
        <f>'Fixed Fee'!N23*9</f>
        <v>0</v>
      </c>
      <c r="F15" s="53">
        <f>'Fixed Fee'!O23*9</f>
        <v>0</v>
      </c>
      <c r="G15" s="53">
        <f>'Fixed Fee'!P23*9</f>
        <v>0</v>
      </c>
      <c r="H15" s="53">
        <f>'Fixed Fee'!Q23*9</f>
        <v>0</v>
      </c>
      <c r="I15" s="53">
        <f>'Fixed Fee'!R23*9</f>
        <v>0</v>
      </c>
      <c r="J15" s="53">
        <f>'Fixed Fee'!S23*9</f>
        <v>0</v>
      </c>
      <c r="K15" s="53">
        <f>'Fixed Fee'!T23*9</f>
        <v>0</v>
      </c>
      <c r="L15" s="53">
        <f>'Fixed Fee'!U23*9</f>
        <v>0</v>
      </c>
      <c r="M15" s="53">
        <f>'Fixed Fee'!V23*9</f>
        <v>0</v>
      </c>
      <c r="N15" s="53">
        <f>'Fixed Fee'!W23*9</f>
        <v>0</v>
      </c>
      <c r="O15" s="53">
        <f>'Fixed Fee'!X23*9</f>
        <v>0</v>
      </c>
      <c r="P15" s="53">
        <f>'Fixed Fee'!Y23*9</f>
        <v>0</v>
      </c>
      <c r="Q15" s="53">
        <f>'Fixed Fee'!Z23*9</f>
        <v>0</v>
      </c>
      <c r="R15" s="53">
        <f>'Fixed Fee'!AA23*9</f>
        <v>0</v>
      </c>
      <c r="S15" s="53">
        <f>'Fixed Fee'!AB23*9</f>
        <v>0</v>
      </c>
      <c r="T15" s="53">
        <f>'Fixed Fee'!AC23*9</f>
        <v>0</v>
      </c>
      <c r="U15" s="53">
        <f>'Fixed Fee'!AD23*9</f>
        <v>0</v>
      </c>
      <c r="V15" s="53">
        <f>'Fixed Fee'!AE23*9</f>
        <v>0</v>
      </c>
      <c r="W15" s="53">
        <f>'Fixed Fee'!AF23*9</f>
        <v>0</v>
      </c>
      <c r="X15" s="53">
        <f>'Fixed Fee'!AG23*9</f>
        <v>0</v>
      </c>
      <c r="Y15" s="53">
        <f>'Fixed Fee'!AH23*9</f>
        <v>0</v>
      </c>
      <c r="Z15" s="53">
        <f>'Fixed Fee'!AI23*9</f>
        <v>0</v>
      </c>
      <c r="AA15" s="53">
        <f>'Fixed Fee'!AJ23*9</f>
        <v>0</v>
      </c>
      <c r="AB15" s="53">
        <f>'Fixed Fee'!AK23*9</f>
        <v>0</v>
      </c>
      <c r="AC15" s="53">
        <f>'Fixed Fee'!AL23*9</f>
        <v>0</v>
      </c>
      <c r="AD15" s="53">
        <f>'Fixed Fee'!AM23*9</f>
        <v>0</v>
      </c>
      <c r="AE15" s="53">
        <f>'Fixed Fee'!AN23*9</f>
        <v>0</v>
      </c>
      <c r="AF15" s="53">
        <f>'Fixed Fee'!AO23*9</f>
        <v>0</v>
      </c>
      <c r="AG15" s="53">
        <f>'Fixed Fee'!AP23*9</f>
        <v>0</v>
      </c>
      <c r="AH15" s="53">
        <f>'Fixed Fee'!AQ23*9</f>
        <v>0</v>
      </c>
      <c r="AI15" s="53">
        <f>'Fixed Fee'!AR23*9</f>
        <v>0</v>
      </c>
      <c r="AJ15" s="53">
        <f>'Fixed Fee'!AS23*9</f>
        <v>0</v>
      </c>
      <c r="AK15" s="53">
        <f>'Fixed Fee'!AT23*9</f>
        <v>0</v>
      </c>
      <c r="AL15" s="53">
        <f>'Fixed Fee'!AU23*9</f>
        <v>0</v>
      </c>
      <c r="AM15" s="53">
        <f>'Fixed Fee'!AV23*9</f>
        <v>0</v>
      </c>
      <c r="AN15" s="53">
        <f>'Fixed Fee'!AW23*9</f>
        <v>0</v>
      </c>
      <c r="AO15" s="53">
        <f>'Fixed Fee'!AX23*9</f>
        <v>0</v>
      </c>
      <c r="AP15" s="53">
        <f>'Fixed Fee'!AY23*9</f>
        <v>0</v>
      </c>
      <c r="AQ15" s="53">
        <f>'Fixed Fee'!AZ23*9</f>
        <v>0</v>
      </c>
      <c r="AR15" s="53">
        <f>'Fixed Fee'!BA23*9</f>
        <v>0</v>
      </c>
      <c r="AS15" s="53">
        <f>'Fixed Fee'!BB23*9</f>
        <v>0</v>
      </c>
      <c r="AT15" s="53">
        <f>'Fixed Fee'!BC23*9</f>
        <v>0</v>
      </c>
      <c r="AU15" s="53">
        <f>'Fixed Fee'!BD23*9</f>
        <v>0</v>
      </c>
      <c r="AV15" s="53">
        <f>'Fixed Fee'!BE23*9</f>
        <v>0</v>
      </c>
      <c r="AW15" s="53">
        <f>'Fixed Fee'!BF23*9</f>
        <v>0</v>
      </c>
      <c r="AX15" s="53">
        <f>'Fixed Fee'!BG23*9</f>
        <v>0</v>
      </c>
      <c r="AY15" s="53">
        <f>'Fixed Fee'!BH23*9</f>
        <v>0</v>
      </c>
      <c r="AZ15" s="53">
        <f>'Fixed Fee'!BI23*9</f>
        <v>0</v>
      </c>
      <c r="BA15" s="53">
        <f>'Fixed Fee'!BJ23*9</f>
        <v>0</v>
      </c>
      <c r="BB15" s="53">
        <f>'Fixed Fee'!BK23*9</f>
        <v>0</v>
      </c>
      <c r="BC15" s="53">
        <f>'Fixed Fee'!BL23*9</f>
        <v>0</v>
      </c>
      <c r="BD15" s="53">
        <f>'Fixed Fee'!BM23*9</f>
        <v>0</v>
      </c>
      <c r="BE15" s="53">
        <f>'Fixed Fee'!BN23*9</f>
        <v>0</v>
      </c>
      <c r="BF15" s="53">
        <f>'Fixed Fee'!BO23*9</f>
        <v>0</v>
      </c>
      <c r="BG15" s="53">
        <f>'Fixed Fee'!BP23*9</f>
        <v>0</v>
      </c>
      <c r="BH15" s="53">
        <f>'Fixed Fee'!BQ23*9</f>
        <v>0</v>
      </c>
      <c r="BI15" s="53">
        <f>'Fixed Fee'!BR23*9</f>
        <v>0</v>
      </c>
      <c r="BJ15" s="53">
        <f>'Fixed Fee'!BS23*9</f>
        <v>0</v>
      </c>
      <c r="BK15" s="53">
        <f>'Fixed Fee'!BT23*9</f>
        <v>0</v>
      </c>
      <c r="BL15" s="53">
        <f>'Fixed Fee'!BU23*9</f>
        <v>0</v>
      </c>
      <c r="BM15" s="53">
        <f>'Fixed Fee'!BV23*9</f>
        <v>0</v>
      </c>
      <c r="BN15" s="53">
        <f>'Fixed Fee'!BW23*9</f>
        <v>0</v>
      </c>
      <c r="BO15" s="53">
        <f>'Fixed Fee'!BX23*9</f>
        <v>0</v>
      </c>
      <c r="BP15" s="53">
        <f>'Fixed Fee'!BY23*9</f>
        <v>0</v>
      </c>
      <c r="BQ15" s="53">
        <f>'Fixed Fee'!BZ23*9</f>
        <v>0</v>
      </c>
      <c r="BR15" s="53">
        <f>'Fixed Fee'!CA23*9</f>
        <v>0</v>
      </c>
      <c r="BS15" s="53">
        <f>'Fixed Fee'!CB23*9</f>
        <v>0</v>
      </c>
      <c r="BT15" s="53">
        <f>'Fixed Fee'!CC23*9</f>
        <v>0</v>
      </c>
      <c r="BU15" s="53">
        <f>'Fixed Fee'!CD23*9</f>
        <v>0</v>
      </c>
      <c r="BV15" s="53">
        <f>'Fixed Fee'!CE23*9</f>
        <v>0</v>
      </c>
      <c r="BW15" s="53">
        <f>'Fixed Fee'!CF23*9</f>
        <v>0</v>
      </c>
      <c r="BX15" s="53">
        <f>'Fixed Fee'!CG23*9</f>
        <v>0</v>
      </c>
      <c r="BY15" s="53">
        <f>'Fixed Fee'!CH23*9</f>
        <v>0</v>
      </c>
    </row>
    <row r="16" spans="1:77" s="43" customFormat="1" ht="13" x14ac:dyDescent="0.45">
      <c r="A16" s="46">
        <f>'Fixed Fee'!C24</f>
        <v>0</v>
      </c>
      <c r="B16" s="53">
        <f>'Fixed Fee'!K24*9</f>
        <v>0</v>
      </c>
      <c r="C16" s="53">
        <f>'Fixed Fee'!L24*9</f>
        <v>0</v>
      </c>
      <c r="D16" s="53">
        <f>'Fixed Fee'!M24*9</f>
        <v>0</v>
      </c>
      <c r="E16" s="53">
        <f>'Fixed Fee'!N24*9</f>
        <v>0</v>
      </c>
      <c r="F16" s="53">
        <f>'Fixed Fee'!O24*9</f>
        <v>0</v>
      </c>
      <c r="G16" s="53">
        <f>'Fixed Fee'!P24*9</f>
        <v>0</v>
      </c>
      <c r="H16" s="53">
        <f>'Fixed Fee'!Q24*9</f>
        <v>0</v>
      </c>
      <c r="I16" s="53">
        <f>'Fixed Fee'!R24*9</f>
        <v>0</v>
      </c>
      <c r="J16" s="53">
        <f>'Fixed Fee'!S24*9</f>
        <v>0</v>
      </c>
      <c r="K16" s="53">
        <f>'Fixed Fee'!T24*9</f>
        <v>0</v>
      </c>
      <c r="L16" s="53">
        <f>'Fixed Fee'!U24*9</f>
        <v>0</v>
      </c>
      <c r="M16" s="53">
        <f>'Fixed Fee'!V24*9</f>
        <v>0</v>
      </c>
      <c r="N16" s="53">
        <f>'Fixed Fee'!W24*9</f>
        <v>0</v>
      </c>
      <c r="O16" s="53">
        <f>'Fixed Fee'!X24*9</f>
        <v>0</v>
      </c>
      <c r="P16" s="53">
        <f>'Fixed Fee'!Y24*9</f>
        <v>0</v>
      </c>
      <c r="Q16" s="53">
        <f>'Fixed Fee'!Z24*9</f>
        <v>0</v>
      </c>
      <c r="R16" s="53">
        <f>'Fixed Fee'!AA24*9</f>
        <v>0</v>
      </c>
      <c r="S16" s="53">
        <f>'Fixed Fee'!AB24*9</f>
        <v>0</v>
      </c>
      <c r="T16" s="53">
        <f>'Fixed Fee'!AC24*9</f>
        <v>0</v>
      </c>
      <c r="U16" s="53">
        <f>'Fixed Fee'!AD24*9</f>
        <v>0</v>
      </c>
      <c r="V16" s="53">
        <f>'Fixed Fee'!AE24*9</f>
        <v>0</v>
      </c>
      <c r="W16" s="53">
        <f>'Fixed Fee'!AF24*9</f>
        <v>0</v>
      </c>
      <c r="X16" s="53">
        <f>'Fixed Fee'!AG24*9</f>
        <v>0</v>
      </c>
      <c r="Y16" s="53">
        <f>'Fixed Fee'!AH24*9</f>
        <v>0</v>
      </c>
      <c r="Z16" s="53">
        <f>'Fixed Fee'!AI24*9</f>
        <v>0</v>
      </c>
      <c r="AA16" s="53">
        <f>'Fixed Fee'!AJ24*9</f>
        <v>0</v>
      </c>
      <c r="AB16" s="53">
        <f>'Fixed Fee'!AK24*9</f>
        <v>0</v>
      </c>
      <c r="AC16" s="53">
        <f>'Fixed Fee'!AL24*9</f>
        <v>0</v>
      </c>
      <c r="AD16" s="53">
        <f>'Fixed Fee'!AM24*9</f>
        <v>0</v>
      </c>
      <c r="AE16" s="53">
        <f>'Fixed Fee'!AN24*9</f>
        <v>0</v>
      </c>
      <c r="AF16" s="53">
        <f>'Fixed Fee'!AO24*9</f>
        <v>0</v>
      </c>
      <c r="AG16" s="53">
        <f>'Fixed Fee'!AP24*9</f>
        <v>0</v>
      </c>
      <c r="AH16" s="53">
        <f>'Fixed Fee'!AQ24*9</f>
        <v>0</v>
      </c>
      <c r="AI16" s="53">
        <f>'Fixed Fee'!AR24*9</f>
        <v>0</v>
      </c>
      <c r="AJ16" s="53">
        <f>'Fixed Fee'!AS24*9</f>
        <v>0</v>
      </c>
      <c r="AK16" s="53">
        <f>'Fixed Fee'!AT24*9</f>
        <v>0</v>
      </c>
      <c r="AL16" s="53">
        <f>'Fixed Fee'!AU24*9</f>
        <v>0</v>
      </c>
      <c r="AM16" s="53">
        <f>'Fixed Fee'!AV24*9</f>
        <v>0</v>
      </c>
      <c r="AN16" s="53">
        <f>'Fixed Fee'!AW24*9</f>
        <v>0</v>
      </c>
      <c r="AO16" s="53">
        <f>'Fixed Fee'!AX24*9</f>
        <v>0</v>
      </c>
      <c r="AP16" s="53">
        <f>'Fixed Fee'!AY24*9</f>
        <v>0</v>
      </c>
      <c r="AQ16" s="53">
        <f>'Fixed Fee'!AZ24*9</f>
        <v>0</v>
      </c>
      <c r="AR16" s="53">
        <f>'Fixed Fee'!BA24*9</f>
        <v>0</v>
      </c>
      <c r="AS16" s="53">
        <f>'Fixed Fee'!BB24*9</f>
        <v>0</v>
      </c>
      <c r="AT16" s="53">
        <f>'Fixed Fee'!BC24*9</f>
        <v>0</v>
      </c>
      <c r="AU16" s="53">
        <f>'Fixed Fee'!BD24*9</f>
        <v>0</v>
      </c>
      <c r="AV16" s="53">
        <f>'Fixed Fee'!BE24*9</f>
        <v>0</v>
      </c>
      <c r="AW16" s="53">
        <f>'Fixed Fee'!BF24*9</f>
        <v>0</v>
      </c>
      <c r="AX16" s="53">
        <f>'Fixed Fee'!BG24*9</f>
        <v>0</v>
      </c>
      <c r="AY16" s="53">
        <f>'Fixed Fee'!BH24*9</f>
        <v>0</v>
      </c>
      <c r="AZ16" s="53">
        <f>'Fixed Fee'!BI24*9</f>
        <v>0</v>
      </c>
      <c r="BA16" s="53">
        <f>'Fixed Fee'!BJ24*9</f>
        <v>0</v>
      </c>
      <c r="BB16" s="53">
        <f>'Fixed Fee'!BK24*9</f>
        <v>0</v>
      </c>
      <c r="BC16" s="53">
        <f>'Fixed Fee'!BL24*9</f>
        <v>0</v>
      </c>
      <c r="BD16" s="53">
        <f>'Fixed Fee'!BM24*9</f>
        <v>0</v>
      </c>
      <c r="BE16" s="53">
        <f>'Fixed Fee'!BN24*9</f>
        <v>0</v>
      </c>
      <c r="BF16" s="53">
        <f>'Fixed Fee'!BO24*9</f>
        <v>0</v>
      </c>
      <c r="BG16" s="53">
        <f>'Fixed Fee'!BP24*9</f>
        <v>0</v>
      </c>
      <c r="BH16" s="53">
        <f>'Fixed Fee'!BQ24*9</f>
        <v>0</v>
      </c>
      <c r="BI16" s="53">
        <f>'Fixed Fee'!BR24*9</f>
        <v>0</v>
      </c>
      <c r="BJ16" s="53">
        <f>'Fixed Fee'!BS24*9</f>
        <v>0</v>
      </c>
      <c r="BK16" s="53">
        <f>'Fixed Fee'!BT24*9</f>
        <v>0</v>
      </c>
      <c r="BL16" s="53">
        <f>'Fixed Fee'!BU24*9</f>
        <v>0</v>
      </c>
      <c r="BM16" s="53">
        <f>'Fixed Fee'!BV24*9</f>
        <v>0</v>
      </c>
      <c r="BN16" s="53">
        <f>'Fixed Fee'!BW24*9</f>
        <v>0</v>
      </c>
      <c r="BO16" s="53">
        <f>'Fixed Fee'!BX24*9</f>
        <v>0</v>
      </c>
      <c r="BP16" s="53">
        <f>'Fixed Fee'!BY24*9</f>
        <v>0</v>
      </c>
      <c r="BQ16" s="53">
        <f>'Fixed Fee'!BZ24*9</f>
        <v>0</v>
      </c>
      <c r="BR16" s="53">
        <f>'Fixed Fee'!CA24*9</f>
        <v>0</v>
      </c>
      <c r="BS16" s="53">
        <f>'Fixed Fee'!CB24*9</f>
        <v>0</v>
      </c>
      <c r="BT16" s="53">
        <f>'Fixed Fee'!CC24*9</f>
        <v>0</v>
      </c>
      <c r="BU16" s="53">
        <f>'Fixed Fee'!CD24*9</f>
        <v>0</v>
      </c>
      <c r="BV16" s="53">
        <f>'Fixed Fee'!CE24*9</f>
        <v>0</v>
      </c>
      <c r="BW16" s="53">
        <f>'Fixed Fee'!CF24*9</f>
        <v>0</v>
      </c>
      <c r="BX16" s="53">
        <f>'Fixed Fee'!CG24*9</f>
        <v>0</v>
      </c>
      <c r="BY16" s="53">
        <f>'Fixed Fee'!CH24*9</f>
        <v>0</v>
      </c>
    </row>
    <row r="17" spans="1:77" s="43" customFormat="1" ht="13" x14ac:dyDescent="0.45">
      <c r="A17" s="46">
        <f>'Fixed Fee'!C25</f>
        <v>0</v>
      </c>
      <c r="B17" s="53">
        <f>'Fixed Fee'!K25*9</f>
        <v>0</v>
      </c>
      <c r="C17" s="53">
        <f>'Fixed Fee'!L25*9</f>
        <v>0</v>
      </c>
      <c r="D17" s="53">
        <f>'Fixed Fee'!M25*9</f>
        <v>0</v>
      </c>
      <c r="E17" s="53">
        <f>'Fixed Fee'!N25*9</f>
        <v>0</v>
      </c>
      <c r="F17" s="53">
        <f>'Fixed Fee'!O25*9</f>
        <v>0</v>
      </c>
      <c r="G17" s="53">
        <f>'Fixed Fee'!P25*9</f>
        <v>0</v>
      </c>
      <c r="H17" s="53">
        <f>'Fixed Fee'!Q25*9</f>
        <v>0</v>
      </c>
      <c r="I17" s="53">
        <f>'Fixed Fee'!R25*9</f>
        <v>0</v>
      </c>
      <c r="J17" s="53">
        <f>'Fixed Fee'!S25*9</f>
        <v>0</v>
      </c>
      <c r="K17" s="53">
        <f>'Fixed Fee'!T25*9</f>
        <v>0</v>
      </c>
      <c r="L17" s="53">
        <f>'Fixed Fee'!U25*9</f>
        <v>0</v>
      </c>
      <c r="M17" s="53">
        <f>'Fixed Fee'!V25*9</f>
        <v>0</v>
      </c>
      <c r="N17" s="53">
        <f>'Fixed Fee'!W25*9</f>
        <v>0</v>
      </c>
      <c r="O17" s="53">
        <f>'Fixed Fee'!X25*9</f>
        <v>0</v>
      </c>
      <c r="P17" s="53">
        <f>'Fixed Fee'!Y25*9</f>
        <v>0</v>
      </c>
      <c r="Q17" s="53">
        <f>'Fixed Fee'!Z25*9</f>
        <v>0</v>
      </c>
      <c r="R17" s="53">
        <f>'Fixed Fee'!AA25*9</f>
        <v>0</v>
      </c>
      <c r="S17" s="53">
        <f>'Fixed Fee'!AB25*9</f>
        <v>0</v>
      </c>
      <c r="T17" s="53">
        <f>'Fixed Fee'!AC25*9</f>
        <v>0</v>
      </c>
      <c r="U17" s="53">
        <f>'Fixed Fee'!AD25*9</f>
        <v>0</v>
      </c>
      <c r="V17" s="53">
        <f>'Fixed Fee'!AE25*9</f>
        <v>0</v>
      </c>
      <c r="W17" s="53">
        <f>'Fixed Fee'!AF25*9</f>
        <v>0</v>
      </c>
      <c r="X17" s="53">
        <f>'Fixed Fee'!AG25*9</f>
        <v>0</v>
      </c>
      <c r="Y17" s="53">
        <f>'Fixed Fee'!AH25*9</f>
        <v>0</v>
      </c>
      <c r="Z17" s="53">
        <f>'Fixed Fee'!AI25*9</f>
        <v>0</v>
      </c>
      <c r="AA17" s="53">
        <f>'Fixed Fee'!AJ25*9</f>
        <v>0</v>
      </c>
      <c r="AB17" s="53">
        <f>'Fixed Fee'!AK25*9</f>
        <v>0</v>
      </c>
      <c r="AC17" s="53">
        <f>'Fixed Fee'!AL25*9</f>
        <v>0</v>
      </c>
      <c r="AD17" s="53">
        <f>'Fixed Fee'!AM25*9</f>
        <v>0</v>
      </c>
      <c r="AE17" s="53">
        <f>'Fixed Fee'!AN25*9</f>
        <v>0</v>
      </c>
      <c r="AF17" s="53">
        <f>'Fixed Fee'!AO25*9</f>
        <v>0</v>
      </c>
      <c r="AG17" s="53">
        <f>'Fixed Fee'!AP25*9</f>
        <v>0</v>
      </c>
      <c r="AH17" s="53">
        <f>'Fixed Fee'!AQ25*9</f>
        <v>0</v>
      </c>
      <c r="AI17" s="53">
        <f>'Fixed Fee'!AR25*9</f>
        <v>0</v>
      </c>
      <c r="AJ17" s="53">
        <f>'Fixed Fee'!AS25*9</f>
        <v>0</v>
      </c>
      <c r="AK17" s="53">
        <f>'Fixed Fee'!AT25*9</f>
        <v>0</v>
      </c>
      <c r="AL17" s="53">
        <f>'Fixed Fee'!AU25*9</f>
        <v>0</v>
      </c>
      <c r="AM17" s="53">
        <f>'Fixed Fee'!AV25*9</f>
        <v>0</v>
      </c>
      <c r="AN17" s="53">
        <f>'Fixed Fee'!AW25*9</f>
        <v>0</v>
      </c>
      <c r="AO17" s="53">
        <f>'Fixed Fee'!AX25*9</f>
        <v>0</v>
      </c>
      <c r="AP17" s="53">
        <f>'Fixed Fee'!AY25*9</f>
        <v>0</v>
      </c>
      <c r="AQ17" s="53">
        <f>'Fixed Fee'!AZ25*9</f>
        <v>0</v>
      </c>
      <c r="AR17" s="53">
        <f>'Fixed Fee'!BA25*9</f>
        <v>0</v>
      </c>
      <c r="AS17" s="53">
        <f>'Fixed Fee'!BB25*9</f>
        <v>0</v>
      </c>
      <c r="AT17" s="53">
        <f>'Fixed Fee'!BC25*9</f>
        <v>0</v>
      </c>
      <c r="AU17" s="53">
        <f>'Fixed Fee'!BD25*9</f>
        <v>0</v>
      </c>
      <c r="AV17" s="53">
        <f>'Fixed Fee'!BE25*9</f>
        <v>0</v>
      </c>
      <c r="AW17" s="53">
        <f>'Fixed Fee'!BF25*9</f>
        <v>0</v>
      </c>
      <c r="AX17" s="53">
        <f>'Fixed Fee'!BG25*9</f>
        <v>0</v>
      </c>
      <c r="AY17" s="53">
        <f>'Fixed Fee'!BH25*9</f>
        <v>0</v>
      </c>
      <c r="AZ17" s="53">
        <f>'Fixed Fee'!BI25*9</f>
        <v>0</v>
      </c>
      <c r="BA17" s="53">
        <f>'Fixed Fee'!BJ25*9</f>
        <v>0</v>
      </c>
      <c r="BB17" s="53">
        <f>'Fixed Fee'!BK25*9</f>
        <v>0</v>
      </c>
      <c r="BC17" s="53">
        <f>'Fixed Fee'!BL25*9</f>
        <v>0</v>
      </c>
      <c r="BD17" s="53">
        <f>'Fixed Fee'!BM25*9</f>
        <v>0</v>
      </c>
      <c r="BE17" s="53">
        <f>'Fixed Fee'!BN25*9</f>
        <v>0</v>
      </c>
      <c r="BF17" s="53">
        <f>'Fixed Fee'!BO25*9</f>
        <v>0</v>
      </c>
      <c r="BG17" s="53">
        <f>'Fixed Fee'!BP25*9</f>
        <v>0</v>
      </c>
      <c r="BH17" s="53">
        <f>'Fixed Fee'!BQ25*9</f>
        <v>0</v>
      </c>
      <c r="BI17" s="53">
        <f>'Fixed Fee'!BR25*9</f>
        <v>0</v>
      </c>
      <c r="BJ17" s="53">
        <f>'Fixed Fee'!BS25*9</f>
        <v>0</v>
      </c>
      <c r="BK17" s="53">
        <f>'Fixed Fee'!BT25*9</f>
        <v>0</v>
      </c>
      <c r="BL17" s="53">
        <f>'Fixed Fee'!BU25*9</f>
        <v>0</v>
      </c>
      <c r="BM17" s="53">
        <f>'Fixed Fee'!BV25*9</f>
        <v>0</v>
      </c>
      <c r="BN17" s="53">
        <f>'Fixed Fee'!BW25*9</f>
        <v>0</v>
      </c>
      <c r="BO17" s="53">
        <f>'Fixed Fee'!BX25*9</f>
        <v>0</v>
      </c>
      <c r="BP17" s="53">
        <f>'Fixed Fee'!BY25*9</f>
        <v>0</v>
      </c>
      <c r="BQ17" s="53">
        <f>'Fixed Fee'!BZ25*9</f>
        <v>0</v>
      </c>
      <c r="BR17" s="53">
        <f>'Fixed Fee'!CA25*9</f>
        <v>0</v>
      </c>
      <c r="BS17" s="53">
        <f>'Fixed Fee'!CB25*9</f>
        <v>0</v>
      </c>
      <c r="BT17" s="53">
        <f>'Fixed Fee'!CC25*9</f>
        <v>0</v>
      </c>
      <c r="BU17" s="53">
        <f>'Fixed Fee'!CD25*9</f>
        <v>0</v>
      </c>
      <c r="BV17" s="53">
        <f>'Fixed Fee'!CE25*9</f>
        <v>0</v>
      </c>
      <c r="BW17" s="53">
        <f>'Fixed Fee'!CF25*9</f>
        <v>0</v>
      </c>
      <c r="BX17" s="53">
        <f>'Fixed Fee'!CG25*9</f>
        <v>0</v>
      </c>
      <c r="BY17" s="53">
        <f>'Fixed Fee'!CH25*9</f>
        <v>0</v>
      </c>
    </row>
    <row r="18" spans="1:77" s="43" customFormat="1" ht="13" x14ac:dyDescent="0.45">
      <c r="A18" s="46">
        <f>'Fixed Fee'!C26</f>
        <v>0</v>
      </c>
      <c r="B18" s="53">
        <f>'Fixed Fee'!K26*9</f>
        <v>0</v>
      </c>
      <c r="C18" s="53">
        <f>'Fixed Fee'!L26*9</f>
        <v>0</v>
      </c>
      <c r="D18" s="53">
        <f>'Fixed Fee'!M26*9</f>
        <v>0</v>
      </c>
      <c r="E18" s="53">
        <f>'Fixed Fee'!N26*9</f>
        <v>0</v>
      </c>
      <c r="F18" s="53">
        <f>'Fixed Fee'!O26*9</f>
        <v>0</v>
      </c>
      <c r="G18" s="53">
        <f>'Fixed Fee'!P26*9</f>
        <v>0</v>
      </c>
      <c r="H18" s="53">
        <f>'Fixed Fee'!Q26*9</f>
        <v>0</v>
      </c>
      <c r="I18" s="53">
        <f>'Fixed Fee'!R26*9</f>
        <v>0</v>
      </c>
      <c r="J18" s="53">
        <f>'Fixed Fee'!S26*9</f>
        <v>0</v>
      </c>
      <c r="K18" s="53">
        <f>'Fixed Fee'!T26*9</f>
        <v>0</v>
      </c>
      <c r="L18" s="53">
        <f>'Fixed Fee'!U26*9</f>
        <v>0</v>
      </c>
      <c r="M18" s="53">
        <f>'Fixed Fee'!V26*9</f>
        <v>0</v>
      </c>
      <c r="N18" s="53">
        <f>'Fixed Fee'!W26*9</f>
        <v>0</v>
      </c>
      <c r="O18" s="53">
        <f>'Fixed Fee'!X26*9</f>
        <v>0</v>
      </c>
      <c r="P18" s="53">
        <f>'Fixed Fee'!Y26*9</f>
        <v>0</v>
      </c>
      <c r="Q18" s="53">
        <f>'Fixed Fee'!Z26*9</f>
        <v>0</v>
      </c>
      <c r="R18" s="53">
        <f>'Fixed Fee'!AA26*9</f>
        <v>0</v>
      </c>
      <c r="S18" s="53">
        <f>'Fixed Fee'!AB26*9</f>
        <v>0</v>
      </c>
      <c r="T18" s="53">
        <f>'Fixed Fee'!AC26*9</f>
        <v>0</v>
      </c>
      <c r="U18" s="53">
        <f>'Fixed Fee'!AD26*9</f>
        <v>0</v>
      </c>
      <c r="V18" s="53">
        <f>'Fixed Fee'!AE26*9</f>
        <v>0</v>
      </c>
      <c r="W18" s="53">
        <f>'Fixed Fee'!AF26*9</f>
        <v>0</v>
      </c>
      <c r="X18" s="53">
        <f>'Fixed Fee'!AG26*9</f>
        <v>0</v>
      </c>
      <c r="Y18" s="53">
        <f>'Fixed Fee'!AH26*9</f>
        <v>0</v>
      </c>
      <c r="Z18" s="53">
        <f>'Fixed Fee'!AI26*9</f>
        <v>0</v>
      </c>
      <c r="AA18" s="53">
        <f>'Fixed Fee'!AJ26*9</f>
        <v>0</v>
      </c>
      <c r="AB18" s="53">
        <f>'Fixed Fee'!AK26*9</f>
        <v>0</v>
      </c>
      <c r="AC18" s="53">
        <f>'Fixed Fee'!AL26*9</f>
        <v>0</v>
      </c>
      <c r="AD18" s="53">
        <f>'Fixed Fee'!AM26*9</f>
        <v>0</v>
      </c>
      <c r="AE18" s="53">
        <f>'Fixed Fee'!AN26*9</f>
        <v>0</v>
      </c>
      <c r="AF18" s="53">
        <f>'Fixed Fee'!AO26*9</f>
        <v>0</v>
      </c>
      <c r="AG18" s="53">
        <f>'Fixed Fee'!AP26*9</f>
        <v>0</v>
      </c>
      <c r="AH18" s="53">
        <f>'Fixed Fee'!AQ26*9</f>
        <v>0</v>
      </c>
      <c r="AI18" s="53">
        <f>'Fixed Fee'!AR26*9</f>
        <v>0</v>
      </c>
      <c r="AJ18" s="53">
        <f>'Fixed Fee'!AS26*9</f>
        <v>0</v>
      </c>
      <c r="AK18" s="53">
        <f>'Fixed Fee'!AT26*9</f>
        <v>0</v>
      </c>
      <c r="AL18" s="53">
        <f>'Fixed Fee'!AU26*9</f>
        <v>0</v>
      </c>
      <c r="AM18" s="53">
        <f>'Fixed Fee'!AV26*9</f>
        <v>0</v>
      </c>
      <c r="AN18" s="53">
        <f>'Fixed Fee'!AW26*9</f>
        <v>0</v>
      </c>
      <c r="AO18" s="53">
        <f>'Fixed Fee'!AX26*9</f>
        <v>0</v>
      </c>
      <c r="AP18" s="53">
        <f>'Fixed Fee'!AY26*9</f>
        <v>0</v>
      </c>
      <c r="AQ18" s="53">
        <f>'Fixed Fee'!AZ26*9</f>
        <v>0</v>
      </c>
      <c r="AR18" s="53">
        <f>'Fixed Fee'!BA26*9</f>
        <v>0</v>
      </c>
      <c r="AS18" s="53">
        <f>'Fixed Fee'!BB26*9</f>
        <v>0</v>
      </c>
      <c r="AT18" s="53">
        <f>'Fixed Fee'!BC26*9</f>
        <v>0</v>
      </c>
      <c r="AU18" s="53">
        <f>'Fixed Fee'!BD26*9</f>
        <v>0</v>
      </c>
      <c r="AV18" s="53">
        <f>'Fixed Fee'!BE26*9</f>
        <v>0</v>
      </c>
      <c r="AW18" s="53">
        <f>'Fixed Fee'!BF26*9</f>
        <v>0</v>
      </c>
      <c r="AX18" s="53">
        <f>'Fixed Fee'!BG26*9</f>
        <v>0</v>
      </c>
      <c r="AY18" s="53">
        <f>'Fixed Fee'!BH26*9</f>
        <v>0</v>
      </c>
      <c r="AZ18" s="53">
        <f>'Fixed Fee'!BI26*9</f>
        <v>0</v>
      </c>
      <c r="BA18" s="53">
        <f>'Fixed Fee'!BJ26*9</f>
        <v>0</v>
      </c>
      <c r="BB18" s="53">
        <f>'Fixed Fee'!BK26*9</f>
        <v>0</v>
      </c>
      <c r="BC18" s="53">
        <f>'Fixed Fee'!BL26*9</f>
        <v>0</v>
      </c>
      <c r="BD18" s="53">
        <f>'Fixed Fee'!BM26*9</f>
        <v>0</v>
      </c>
      <c r="BE18" s="53">
        <f>'Fixed Fee'!BN26*9</f>
        <v>0</v>
      </c>
      <c r="BF18" s="53">
        <f>'Fixed Fee'!BO26*9</f>
        <v>0</v>
      </c>
      <c r="BG18" s="53">
        <f>'Fixed Fee'!BP26*9</f>
        <v>0</v>
      </c>
      <c r="BH18" s="53">
        <f>'Fixed Fee'!BQ26*9</f>
        <v>0</v>
      </c>
      <c r="BI18" s="53">
        <f>'Fixed Fee'!BR26*9</f>
        <v>0</v>
      </c>
      <c r="BJ18" s="53">
        <f>'Fixed Fee'!BS26*9</f>
        <v>0</v>
      </c>
      <c r="BK18" s="53">
        <f>'Fixed Fee'!BT26*9</f>
        <v>0</v>
      </c>
      <c r="BL18" s="53">
        <f>'Fixed Fee'!BU26*9</f>
        <v>0</v>
      </c>
      <c r="BM18" s="53">
        <f>'Fixed Fee'!BV26*9</f>
        <v>0</v>
      </c>
      <c r="BN18" s="53">
        <f>'Fixed Fee'!BW26*9</f>
        <v>0</v>
      </c>
      <c r="BO18" s="53">
        <f>'Fixed Fee'!BX26*9</f>
        <v>0</v>
      </c>
      <c r="BP18" s="53">
        <f>'Fixed Fee'!BY26*9</f>
        <v>0</v>
      </c>
      <c r="BQ18" s="53">
        <f>'Fixed Fee'!BZ26*9</f>
        <v>0</v>
      </c>
      <c r="BR18" s="53">
        <f>'Fixed Fee'!CA26*9</f>
        <v>0</v>
      </c>
      <c r="BS18" s="53">
        <f>'Fixed Fee'!CB26*9</f>
        <v>0</v>
      </c>
      <c r="BT18" s="53">
        <f>'Fixed Fee'!CC26*9</f>
        <v>0</v>
      </c>
      <c r="BU18" s="53">
        <f>'Fixed Fee'!CD26*9</f>
        <v>0</v>
      </c>
      <c r="BV18" s="53">
        <f>'Fixed Fee'!CE26*9</f>
        <v>0</v>
      </c>
      <c r="BW18" s="53">
        <f>'Fixed Fee'!CF26*9</f>
        <v>0</v>
      </c>
      <c r="BX18" s="53">
        <f>'Fixed Fee'!CG26*9</f>
        <v>0</v>
      </c>
      <c r="BY18" s="53">
        <f>'Fixed Fee'!CH26*9</f>
        <v>0</v>
      </c>
    </row>
    <row r="19" spans="1:77" s="43" customFormat="1" ht="13" x14ac:dyDescent="0.45">
      <c r="A19" s="46">
        <f>'Fixed Fee'!C27</f>
        <v>0</v>
      </c>
      <c r="B19" s="53">
        <f>'Fixed Fee'!K27*9</f>
        <v>0</v>
      </c>
      <c r="C19" s="53">
        <f>'Fixed Fee'!L27*9</f>
        <v>0</v>
      </c>
      <c r="D19" s="53">
        <f>'Fixed Fee'!M27*9</f>
        <v>0</v>
      </c>
      <c r="E19" s="53">
        <f>'Fixed Fee'!N27*9</f>
        <v>0</v>
      </c>
      <c r="F19" s="53">
        <f>'Fixed Fee'!O27*9</f>
        <v>0</v>
      </c>
      <c r="G19" s="53">
        <f>'Fixed Fee'!P27*9</f>
        <v>0</v>
      </c>
      <c r="H19" s="53">
        <f>'Fixed Fee'!Q27*9</f>
        <v>0</v>
      </c>
      <c r="I19" s="53">
        <f>'Fixed Fee'!R27*9</f>
        <v>0</v>
      </c>
      <c r="J19" s="53">
        <f>'Fixed Fee'!S27*9</f>
        <v>0</v>
      </c>
      <c r="K19" s="53">
        <f>'Fixed Fee'!T27*9</f>
        <v>0</v>
      </c>
      <c r="L19" s="53">
        <f>'Fixed Fee'!U27*9</f>
        <v>0</v>
      </c>
      <c r="M19" s="53">
        <f>'Fixed Fee'!V27*9</f>
        <v>0</v>
      </c>
      <c r="N19" s="53">
        <f>'Fixed Fee'!W27*9</f>
        <v>0</v>
      </c>
      <c r="O19" s="53">
        <f>'Fixed Fee'!X27*9</f>
        <v>0</v>
      </c>
      <c r="P19" s="53">
        <f>'Fixed Fee'!Y27*9</f>
        <v>0</v>
      </c>
      <c r="Q19" s="53">
        <f>'Fixed Fee'!Z27*9</f>
        <v>0</v>
      </c>
      <c r="R19" s="53">
        <f>'Fixed Fee'!AA27*9</f>
        <v>0</v>
      </c>
      <c r="S19" s="53">
        <f>'Fixed Fee'!AB27*9</f>
        <v>0</v>
      </c>
      <c r="T19" s="53">
        <f>'Fixed Fee'!AC27*9</f>
        <v>0</v>
      </c>
      <c r="U19" s="53">
        <f>'Fixed Fee'!AD27*9</f>
        <v>0</v>
      </c>
      <c r="V19" s="53">
        <f>'Fixed Fee'!AE27*9</f>
        <v>0</v>
      </c>
      <c r="W19" s="53">
        <f>'Fixed Fee'!AF27*9</f>
        <v>0</v>
      </c>
      <c r="X19" s="53">
        <f>'Fixed Fee'!AG27*9</f>
        <v>0</v>
      </c>
      <c r="Y19" s="53">
        <f>'Fixed Fee'!AH27*9</f>
        <v>0</v>
      </c>
      <c r="Z19" s="53">
        <f>'Fixed Fee'!AI27*9</f>
        <v>0</v>
      </c>
      <c r="AA19" s="53">
        <f>'Fixed Fee'!AJ27*9</f>
        <v>0</v>
      </c>
      <c r="AB19" s="53">
        <f>'Fixed Fee'!AK27*9</f>
        <v>0</v>
      </c>
      <c r="AC19" s="53">
        <f>'Fixed Fee'!AL27*9</f>
        <v>0</v>
      </c>
      <c r="AD19" s="53">
        <f>'Fixed Fee'!AM27*9</f>
        <v>0</v>
      </c>
      <c r="AE19" s="53">
        <f>'Fixed Fee'!AN27*9</f>
        <v>0</v>
      </c>
      <c r="AF19" s="53">
        <f>'Fixed Fee'!AO27*9</f>
        <v>0</v>
      </c>
      <c r="AG19" s="53">
        <f>'Fixed Fee'!AP27*9</f>
        <v>0</v>
      </c>
      <c r="AH19" s="53">
        <f>'Fixed Fee'!AQ27*9</f>
        <v>0</v>
      </c>
      <c r="AI19" s="53">
        <f>'Fixed Fee'!AR27*9</f>
        <v>0</v>
      </c>
      <c r="AJ19" s="53">
        <f>'Fixed Fee'!AS27*9</f>
        <v>0</v>
      </c>
      <c r="AK19" s="53">
        <f>'Fixed Fee'!AT27*9</f>
        <v>0</v>
      </c>
      <c r="AL19" s="53">
        <f>'Fixed Fee'!AU27*9</f>
        <v>0</v>
      </c>
      <c r="AM19" s="53">
        <f>'Fixed Fee'!AV27*9</f>
        <v>0</v>
      </c>
      <c r="AN19" s="53">
        <f>'Fixed Fee'!AW27*9</f>
        <v>0</v>
      </c>
      <c r="AO19" s="53">
        <f>'Fixed Fee'!AX27*9</f>
        <v>0</v>
      </c>
      <c r="AP19" s="53">
        <f>'Fixed Fee'!AY27*9</f>
        <v>0</v>
      </c>
      <c r="AQ19" s="53">
        <f>'Fixed Fee'!AZ27*9</f>
        <v>0</v>
      </c>
      <c r="AR19" s="53">
        <f>'Fixed Fee'!BA27*9</f>
        <v>0</v>
      </c>
      <c r="AS19" s="53">
        <f>'Fixed Fee'!BB27*9</f>
        <v>0</v>
      </c>
      <c r="AT19" s="53">
        <f>'Fixed Fee'!BC27*9</f>
        <v>0</v>
      </c>
      <c r="AU19" s="53">
        <f>'Fixed Fee'!BD27*9</f>
        <v>0</v>
      </c>
      <c r="AV19" s="53">
        <f>'Fixed Fee'!BE27*9</f>
        <v>0</v>
      </c>
      <c r="AW19" s="53">
        <f>'Fixed Fee'!BF27*9</f>
        <v>0</v>
      </c>
      <c r="AX19" s="53">
        <f>'Fixed Fee'!BG27*9</f>
        <v>0</v>
      </c>
      <c r="AY19" s="53">
        <f>'Fixed Fee'!BH27*9</f>
        <v>0</v>
      </c>
      <c r="AZ19" s="53">
        <f>'Fixed Fee'!BI27*9</f>
        <v>0</v>
      </c>
      <c r="BA19" s="53">
        <f>'Fixed Fee'!BJ27*9</f>
        <v>0</v>
      </c>
      <c r="BB19" s="53">
        <f>'Fixed Fee'!BK27*9</f>
        <v>0</v>
      </c>
      <c r="BC19" s="53">
        <f>'Fixed Fee'!BL27*9</f>
        <v>0</v>
      </c>
      <c r="BD19" s="53">
        <f>'Fixed Fee'!BM27*9</f>
        <v>0</v>
      </c>
      <c r="BE19" s="53">
        <f>'Fixed Fee'!BN27*9</f>
        <v>0</v>
      </c>
      <c r="BF19" s="53">
        <f>'Fixed Fee'!BO27*9</f>
        <v>0</v>
      </c>
      <c r="BG19" s="53">
        <f>'Fixed Fee'!BP27*9</f>
        <v>0</v>
      </c>
      <c r="BH19" s="53">
        <f>'Fixed Fee'!BQ27*9</f>
        <v>0</v>
      </c>
      <c r="BI19" s="53">
        <f>'Fixed Fee'!BR27*9</f>
        <v>0</v>
      </c>
      <c r="BJ19" s="53">
        <f>'Fixed Fee'!BS27*9</f>
        <v>0</v>
      </c>
      <c r="BK19" s="53">
        <f>'Fixed Fee'!BT27*9</f>
        <v>0</v>
      </c>
      <c r="BL19" s="53">
        <f>'Fixed Fee'!BU27*9</f>
        <v>0</v>
      </c>
      <c r="BM19" s="53">
        <f>'Fixed Fee'!BV27*9</f>
        <v>0</v>
      </c>
      <c r="BN19" s="53">
        <f>'Fixed Fee'!BW27*9</f>
        <v>0</v>
      </c>
      <c r="BO19" s="53">
        <f>'Fixed Fee'!BX27*9</f>
        <v>0</v>
      </c>
      <c r="BP19" s="53">
        <f>'Fixed Fee'!BY27*9</f>
        <v>0</v>
      </c>
      <c r="BQ19" s="53">
        <f>'Fixed Fee'!BZ27*9</f>
        <v>0</v>
      </c>
      <c r="BR19" s="53">
        <f>'Fixed Fee'!CA27*9</f>
        <v>0</v>
      </c>
      <c r="BS19" s="53">
        <f>'Fixed Fee'!CB27*9</f>
        <v>0</v>
      </c>
      <c r="BT19" s="53">
        <f>'Fixed Fee'!CC27*9</f>
        <v>0</v>
      </c>
      <c r="BU19" s="53">
        <f>'Fixed Fee'!CD27*9</f>
        <v>0</v>
      </c>
      <c r="BV19" s="53">
        <f>'Fixed Fee'!CE27*9</f>
        <v>0</v>
      </c>
      <c r="BW19" s="53">
        <f>'Fixed Fee'!CF27*9</f>
        <v>0</v>
      </c>
      <c r="BX19" s="53">
        <f>'Fixed Fee'!CG27*9</f>
        <v>0</v>
      </c>
      <c r="BY19" s="53">
        <f>'Fixed Fee'!CH27*9</f>
        <v>0</v>
      </c>
    </row>
    <row r="20" spans="1:77" s="43" customFormat="1" ht="13" x14ac:dyDescent="0.45">
      <c r="A20" s="46">
        <f>'Fixed Fee'!C28</f>
        <v>0</v>
      </c>
      <c r="B20" s="53">
        <f>'Fixed Fee'!K28*9</f>
        <v>0</v>
      </c>
      <c r="C20" s="53">
        <f>'Fixed Fee'!L28*9</f>
        <v>0</v>
      </c>
      <c r="D20" s="53">
        <f>'Fixed Fee'!M28*9</f>
        <v>0</v>
      </c>
      <c r="E20" s="53">
        <f>'Fixed Fee'!N28*9</f>
        <v>0</v>
      </c>
      <c r="F20" s="53">
        <f>'Fixed Fee'!O28*9</f>
        <v>0</v>
      </c>
      <c r="G20" s="53">
        <f>'Fixed Fee'!P28*9</f>
        <v>0</v>
      </c>
      <c r="H20" s="53">
        <f>'Fixed Fee'!Q28*9</f>
        <v>0</v>
      </c>
      <c r="I20" s="53">
        <f>'Fixed Fee'!R28*9</f>
        <v>0</v>
      </c>
      <c r="J20" s="53">
        <f>'Fixed Fee'!S28*9</f>
        <v>0</v>
      </c>
      <c r="K20" s="53">
        <f>'Fixed Fee'!T28*9</f>
        <v>0</v>
      </c>
      <c r="L20" s="53">
        <f>'Fixed Fee'!U28*9</f>
        <v>0</v>
      </c>
      <c r="M20" s="53">
        <f>'Fixed Fee'!V28*9</f>
        <v>0</v>
      </c>
      <c r="N20" s="53">
        <f>'Fixed Fee'!W28*9</f>
        <v>0</v>
      </c>
      <c r="O20" s="53">
        <f>'Fixed Fee'!X28*9</f>
        <v>0</v>
      </c>
      <c r="P20" s="53">
        <f>'Fixed Fee'!Y28*9</f>
        <v>0</v>
      </c>
      <c r="Q20" s="53">
        <f>'Fixed Fee'!Z28*9</f>
        <v>0</v>
      </c>
      <c r="R20" s="53">
        <f>'Fixed Fee'!AA28*9</f>
        <v>0</v>
      </c>
      <c r="S20" s="53">
        <f>'Fixed Fee'!AB28*9</f>
        <v>0</v>
      </c>
      <c r="T20" s="53">
        <f>'Fixed Fee'!AC28*9</f>
        <v>0</v>
      </c>
      <c r="U20" s="53">
        <f>'Fixed Fee'!AD28*9</f>
        <v>0</v>
      </c>
      <c r="V20" s="53">
        <f>'Fixed Fee'!AE28*9</f>
        <v>0</v>
      </c>
      <c r="W20" s="53">
        <f>'Fixed Fee'!AF28*9</f>
        <v>0</v>
      </c>
      <c r="X20" s="53">
        <f>'Fixed Fee'!AG28*9</f>
        <v>0</v>
      </c>
      <c r="Y20" s="53">
        <f>'Fixed Fee'!AH28*9</f>
        <v>0</v>
      </c>
      <c r="Z20" s="53">
        <f>'Fixed Fee'!AI28*9</f>
        <v>0</v>
      </c>
      <c r="AA20" s="53">
        <f>'Fixed Fee'!AJ28*9</f>
        <v>0</v>
      </c>
      <c r="AB20" s="53">
        <f>'Fixed Fee'!AK28*9</f>
        <v>0</v>
      </c>
      <c r="AC20" s="53">
        <f>'Fixed Fee'!AL28*9</f>
        <v>0</v>
      </c>
      <c r="AD20" s="53">
        <f>'Fixed Fee'!AM28*9</f>
        <v>0</v>
      </c>
      <c r="AE20" s="53">
        <f>'Fixed Fee'!AN28*9</f>
        <v>0</v>
      </c>
      <c r="AF20" s="53">
        <f>'Fixed Fee'!AO28*9</f>
        <v>0</v>
      </c>
      <c r="AG20" s="53">
        <f>'Fixed Fee'!AP28*9</f>
        <v>0</v>
      </c>
      <c r="AH20" s="53">
        <f>'Fixed Fee'!AQ28*9</f>
        <v>0</v>
      </c>
      <c r="AI20" s="53">
        <f>'Fixed Fee'!AR28*9</f>
        <v>0</v>
      </c>
      <c r="AJ20" s="53">
        <f>'Fixed Fee'!AS28*9</f>
        <v>0</v>
      </c>
      <c r="AK20" s="53">
        <f>'Fixed Fee'!AT28*9</f>
        <v>0</v>
      </c>
      <c r="AL20" s="53">
        <f>'Fixed Fee'!AU28*9</f>
        <v>0</v>
      </c>
      <c r="AM20" s="53">
        <f>'Fixed Fee'!AV28*9</f>
        <v>0</v>
      </c>
      <c r="AN20" s="53">
        <f>'Fixed Fee'!AW28*9</f>
        <v>0</v>
      </c>
      <c r="AO20" s="53">
        <f>'Fixed Fee'!AX28*9</f>
        <v>0</v>
      </c>
      <c r="AP20" s="53">
        <f>'Fixed Fee'!AY28*9</f>
        <v>0</v>
      </c>
      <c r="AQ20" s="53">
        <f>'Fixed Fee'!AZ28*9</f>
        <v>0</v>
      </c>
      <c r="AR20" s="53">
        <f>'Fixed Fee'!BA28*9</f>
        <v>0</v>
      </c>
      <c r="AS20" s="53">
        <f>'Fixed Fee'!BB28*9</f>
        <v>0</v>
      </c>
      <c r="AT20" s="53">
        <f>'Fixed Fee'!BC28*9</f>
        <v>0</v>
      </c>
      <c r="AU20" s="53">
        <f>'Fixed Fee'!BD28*9</f>
        <v>0</v>
      </c>
      <c r="AV20" s="53">
        <f>'Fixed Fee'!BE28*9</f>
        <v>0</v>
      </c>
      <c r="AW20" s="53">
        <f>'Fixed Fee'!BF28*9</f>
        <v>0</v>
      </c>
      <c r="AX20" s="53">
        <f>'Fixed Fee'!BG28*9</f>
        <v>0</v>
      </c>
      <c r="AY20" s="53">
        <f>'Fixed Fee'!BH28*9</f>
        <v>0</v>
      </c>
      <c r="AZ20" s="53">
        <f>'Fixed Fee'!BI28*9</f>
        <v>0</v>
      </c>
      <c r="BA20" s="53">
        <f>'Fixed Fee'!BJ28*9</f>
        <v>0</v>
      </c>
      <c r="BB20" s="53">
        <f>'Fixed Fee'!BK28*9</f>
        <v>0</v>
      </c>
      <c r="BC20" s="53">
        <f>'Fixed Fee'!BL28*9</f>
        <v>0</v>
      </c>
      <c r="BD20" s="53">
        <f>'Fixed Fee'!BM28*9</f>
        <v>0</v>
      </c>
      <c r="BE20" s="53">
        <f>'Fixed Fee'!BN28*9</f>
        <v>0</v>
      </c>
      <c r="BF20" s="53">
        <f>'Fixed Fee'!BO28*9</f>
        <v>0</v>
      </c>
      <c r="BG20" s="53">
        <f>'Fixed Fee'!BP28*9</f>
        <v>0</v>
      </c>
      <c r="BH20" s="53">
        <f>'Fixed Fee'!BQ28*9</f>
        <v>0</v>
      </c>
      <c r="BI20" s="53">
        <f>'Fixed Fee'!BR28*9</f>
        <v>0</v>
      </c>
      <c r="BJ20" s="53">
        <f>'Fixed Fee'!BS28*9</f>
        <v>0</v>
      </c>
      <c r="BK20" s="53">
        <f>'Fixed Fee'!BT28*9</f>
        <v>0</v>
      </c>
      <c r="BL20" s="53">
        <f>'Fixed Fee'!BU28*9</f>
        <v>0</v>
      </c>
      <c r="BM20" s="53">
        <f>'Fixed Fee'!BV28*9</f>
        <v>0</v>
      </c>
      <c r="BN20" s="53">
        <f>'Fixed Fee'!BW28*9</f>
        <v>0</v>
      </c>
      <c r="BO20" s="53">
        <f>'Fixed Fee'!BX28*9</f>
        <v>0</v>
      </c>
      <c r="BP20" s="53">
        <f>'Fixed Fee'!BY28*9</f>
        <v>0</v>
      </c>
      <c r="BQ20" s="53">
        <f>'Fixed Fee'!BZ28*9</f>
        <v>0</v>
      </c>
      <c r="BR20" s="53">
        <f>'Fixed Fee'!CA28*9</f>
        <v>0</v>
      </c>
      <c r="BS20" s="53">
        <f>'Fixed Fee'!CB28*9</f>
        <v>0</v>
      </c>
      <c r="BT20" s="53">
        <f>'Fixed Fee'!CC28*9</f>
        <v>0</v>
      </c>
      <c r="BU20" s="53">
        <f>'Fixed Fee'!CD28*9</f>
        <v>0</v>
      </c>
      <c r="BV20" s="53">
        <f>'Fixed Fee'!CE28*9</f>
        <v>0</v>
      </c>
      <c r="BW20" s="53">
        <f>'Fixed Fee'!CF28*9</f>
        <v>0</v>
      </c>
      <c r="BX20" s="53">
        <f>'Fixed Fee'!CG28*9</f>
        <v>0</v>
      </c>
      <c r="BY20" s="53">
        <f>'Fixed Fee'!CH28*9</f>
        <v>0</v>
      </c>
    </row>
    <row r="21" spans="1:77" s="43" customFormat="1" ht="13" x14ac:dyDescent="0.45">
      <c r="A21" s="46">
        <f>'Fixed Fee'!C30</f>
        <v>0</v>
      </c>
      <c r="B21" s="53">
        <f>'Fixed Fee'!K29*9</f>
        <v>0</v>
      </c>
      <c r="C21" s="53">
        <f>'Fixed Fee'!L29*9</f>
        <v>0</v>
      </c>
      <c r="D21" s="53">
        <f>'Fixed Fee'!M29*9</f>
        <v>0</v>
      </c>
      <c r="E21" s="53">
        <f>'Fixed Fee'!N29*9</f>
        <v>0</v>
      </c>
      <c r="F21" s="53">
        <f>'Fixed Fee'!O29*9</f>
        <v>0</v>
      </c>
      <c r="G21" s="53">
        <f>'Fixed Fee'!P29*9</f>
        <v>0</v>
      </c>
      <c r="H21" s="53">
        <f>'Fixed Fee'!Q29*9</f>
        <v>0</v>
      </c>
      <c r="I21" s="53">
        <f>'Fixed Fee'!R29*9</f>
        <v>0</v>
      </c>
      <c r="J21" s="53">
        <f>'Fixed Fee'!S29*9</f>
        <v>0</v>
      </c>
      <c r="K21" s="53">
        <f>'Fixed Fee'!T29*9</f>
        <v>0</v>
      </c>
      <c r="L21" s="53">
        <f>'Fixed Fee'!U29*9</f>
        <v>0</v>
      </c>
      <c r="M21" s="53">
        <f>'Fixed Fee'!V29*9</f>
        <v>0</v>
      </c>
      <c r="N21" s="53">
        <f>'Fixed Fee'!W29*9</f>
        <v>0</v>
      </c>
      <c r="O21" s="53">
        <f>'Fixed Fee'!X29*9</f>
        <v>0</v>
      </c>
      <c r="P21" s="53">
        <f>'Fixed Fee'!Y29*9</f>
        <v>0</v>
      </c>
      <c r="Q21" s="53">
        <f>'Fixed Fee'!Z29*9</f>
        <v>0</v>
      </c>
      <c r="R21" s="53">
        <f>'Fixed Fee'!AA29*9</f>
        <v>0</v>
      </c>
      <c r="S21" s="53">
        <f>'Fixed Fee'!AB29*9</f>
        <v>0</v>
      </c>
      <c r="T21" s="53">
        <f>'Fixed Fee'!AC29*9</f>
        <v>0</v>
      </c>
      <c r="U21" s="53">
        <f>'Fixed Fee'!AD29*9</f>
        <v>0</v>
      </c>
      <c r="V21" s="53">
        <f>'Fixed Fee'!AE29*9</f>
        <v>0</v>
      </c>
      <c r="W21" s="53">
        <f>'Fixed Fee'!AF29*9</f>
        <v>0</v>
      </c>
      <c r="X21" s="53">
        <f>'Fixed Fee'!AG29*9</f>
        <v>0</v>
      </c>
      <c r="Y21" s="53">
        <f>'Fixed Fee'!AH29*9</f>
        <v>0</v>
      </c>
      <c r="Z21" s="53">
        <f>'Fixed Fee'!AI29*9</f>
        <v>0</v>
      </c>
      <c r="AA21" s="53">
        <f>'Fixed Fee'!AJ29*9</f>
        <v>0</v>
      </c>
      <c r="AB21" s="53">
        <f>'Fixed Fee'!AK29*9</f>
        <v>0</v>
      </c>
      <c r="AC21" s="53">
        <f>'Fixed Fee'!AL29*9</f>
        <v>0</v>
      </c>
      <c r="AD21" s="53">
        <f>'Fixed Fee'!AM29*9</f>
        <v>0</v>
      </c>
      <c r="AE21" s="53">
        <f>'Fixed Fee'!AN29*9</f>
        <v>0</v>
      </c>
      <c r="AF21" s="53">
        <f>'Fixed Fee'!AO29*9</f>
        <v>0</v>
      </c>
      <c r="AG21" s="53">
        <f>'Fixed Fee'!AP29*9</f>
        <v>0</v>
      </c>
      <c r="AH21" s="53">
        <f>'Fixed Fee'!AQ29*9</f>
        <v>0</v>
      </c>
      <c r="AI21" s="53">
        <f>'Fixed Fee'!AR29*9</f>
        <v>0</v>
      </c>
      <c r="AJ21" s="53">
        <f>'Fixed Fee'!AS29*9</f>
        <v>0</v>
      </c>
      <c r="AK21" s="53">
        <f>'Fixed Fee'!AT29*9</f>
        <v>0</v>
      </c>
      <c r="AL21" s="53">
        <f>'Fixed Fee'!AU29*9</f>
        <v>0</v>
      </c>
      <c r="AM21" s="53">
        <f>'Fixed Fee'!AV29*9</f>
        <v>0</v>
      </c>
      <c r="AN21" s="53">
        <f>'Fixed Fee'!AW29*9</f>
        <v>0</v>
      </c>
      <c r="AO21" s="53">
        <f>'Fixed Fee'!AX29*9</f>
        <v>0</v>
      </c>
      <c r="AP21" s="53">
        <f>'Fixed Fee'!AY29*9</f>
        <v>0</v>
      </c>
      <c r="AQ21" s="53">
        <f>'Fixed Fee'!AZ29*9</f>
        <v>0</v>
      </c>
      <c r="AR21" s="53">
        <f>'Fixed Fee'!BA29*9</f>
        <v>0</v>
      </c>
      <c r="AS21" s="53">
        <f>'Fixed Fee'!BB29*9</f>
        <v>0</v>
      </c>
      <c r="AT21" s="53">
        <f>'Fixed Fee'!BC29*9</f>
        <v>0</v>
      </c>
      <c r="AU21" s="53">
        <f>'Fixed Fee'!BD29*9</f>
        <v>0</v>
      </c>
      <c r="AV21" s="53">
        <f>'Fixed Fee'!BE29*9</f>
        <v>0</v>
      </c>
      <c r="AW21" s="53">
        <f>'Fixed Fee'!BF29*9</f>
        <v>0</v>
      </c>
      <c r="AX21" s="53">
        <f>'Fixed Fee'!BG29*9</f>
        <v>0</v>
      </c>
      <c r="AY21" s="53">
        <f>'Fixed Fee'!BH29*9</f>
        <v>0</v>
      </c>
      <c r="AZ21" s="53">
        <f>'Fixed Fee'!BI29*9</f>
        <v>0</v>
      </c>
      <c r="BA21" s="53">
        <f>'Fixed Fee'!BJ29*9</f>
        <v>0</v>
      </c>
      <c r="BB21" s="53">
        <f>'Fixed Fee'!BK29*9</f>
        <v>0</v>
      </c>
      <c r="BC21" s="53">
        <f>'Fixed Fee'!BL29*9</f>
        <v>0</v>
      </c>
      <c r="BD21" s="53">
        <f>'Fixed Fee'!BM29*9</f>
        <v>0</v>
      </c>
      <c r="BE21" s="53">
        <f>'Fixed Fee'!BN29*9</f>
        <v>0</v>
      </c>
      <c r="BF21" s="53">
        <f>'Fixed Fee'!BO29*9</f>
        <v>0</v>
      </c>
      <c r="BG21" s="53">
        <f>'Fixed Fee'!BP29*9</f>
        <v>0</v>
      </c>
      <c r="BH21" s="53">
        <f>'Fixed Fee'!BQ29*9</f>
        <v>0</v>
      </c>
      <c r="BI21" s="53">
        <f>'Fixed Fee'!BR29*9</f>
        <v>0</v>
      </c>
      <c r="BJ21" s="53">
        <f>'Fixed Fee'!BS29*9</f>
        <v>0</v>
      </c>
      <c r="BK21" s="53">
        <f>'Fixed Fee'!BT29*9</f>
        <v>0</v>
      </c>
      <c r="BL21" s="53">
        <f>'Fixed Fee'!BU29*9</f>
        <v>0</v>
      </c>
      <c r="BM21" s="53">
        <f>'Fixed Fee'!BV29*9</f>
        <v>0</v>
      </c>
      <c r="BN21" s="53">
        <f>'Fixed Fee'!BW29*9</f>
        <v>0</v>
      </c>
      <c r="BO21" s="53">
        <f>'Fixed Fee'!BX29*9</f>
        <v>0</v>
      </c>
      <c r="BP21" s="53">
        <f>'Fixed Fee'!BY29*9</f>
        <v>0</v>
      </c>
      <c r="BQ21" s="53">
        <f>'Fixed Fee'!BZ29*9</f>
        <v>0</v>
      </c>
      <c r="BR21" s="53">
        <f>'Fixed Fee'!CA29*9</f>
        <v>0</v>
      </c>
      <c r="BS21" s="53">
        <f>'Fixed Fee'!CB29*9</f>
        <v>0</v>
      </c>
      <c r="BT21" s="53">
        <f>'Fixed Fee'!CC29*9</f>
        <v>0</v>
      </c>
      <c r="BU21" s="53">
        <f>'Fixed Fee'!CD29*9</f>
        <v>0</v>
      </c>
      <c r="BV21" s="53">
        <f>'Fixed Fee'!CE29*9</f>
        <v>0</v>
      </c>
      <c r="BW21" s="53">
        <f>'Fixed Fee'!CF29*9</f>
        <v>0</v>
      </c>
      <c r="BX21" s="53">
        <f>'Fixed Fee'!CG29*9</f>
        <v>0</v>
      </c>
      <c r="BY21" s="53">
        <f>'Fixed Fee'!CH29*9</f>
        <v>0</v>
      </c>
    </row>
    <row r="22" spans="1:77" s="43" customFormat="1" ht="13" x14ac:dyDescent="0.45">
      <c r="A22" s="46">
        <f>'Fixed Fee'!C34</f>
        <v>0</v>
      </c>
      <c r="B22" s="53">
        <f>'Fixed Fee'!K30*9</f>
        <v>0</v>
      </c>
      <c r="C22" s="53">
        <f>'Fixed Fee'!L30*9</f>
        <v>0</v>
      </c>
      <c r="D22" s="53">
        <f>'Fixed Fee'!M30*9</f>
        <v>0</v>
      </c>
      <c r="E22" s="53">
        <f>'Fixed Fee'!N30*9</f>
        <v>0</v>
      </c>
      <c r="F22" s="53">
        <f>'Fixed Fee'!O30*9</f>
        <v>0</v>
      </c>
      <c r="G22" s="53">
        <f>'Fixed Fee'!P30*9</f>
        <v>0</v>
      </c>
      <c r="H22" s="53">
        <f>'Fixed Fee'!Q30*9</f>
        <v>0</v>
      </c>
      <c r="I22" s="53">
        <f>'Fixed Fee'!R30*9</f>
        <v>0</v>
      </c>
      <c r="J22" s="53">
        <f>'Fixed Fee'!S30*9</f>
        <v>0</v>
      </c>
      <c r="K22" s="53">
        <f>'Fixed Fee'!T30*9</f>
        <v>0</v>
      </c>
      <c r="L22" s="53">
        <f>'Fixed Fee'!U30*9</f>
        <v>0</v>
      </c>
      <c r="M22" s="53">
        <f>'Fixed Fee'!V30*9</f>
        <v>0</v>
      </c>
      <c r="N22" s="53">
        <f>'Fixed Fee'!W30*9</f>
        <v>0</v>
      </c>
      <c r="O22" s="53">
        <f>'Fixed Fee'!X30*9</f>
        <v>0</v>
      </c>
      <c r="P22" s="53">
        <f>'Fixed Fee'!Y30*9</f>
        <v>0</v>
      </c>
      <c r="Q22" s="53">
        <f>'Fixed Fee'!Z30*9</f>
        <v>0</v>
      </c>
      <c r="R22" s="53">
        <f>'Fixed Fee'!AA30*9</f>
        <v>0</v>
      </c>
      <c r="S22" s="53">
        <f>'Fixed Fee'!AB30*9</f>
        <v>0</v>
      </c>
      <c r="T22" s="53">
        <f>'Fixed Fee'!AC30*9</f>
        <v>0</v>
      </c>
      <c r="U22" s="53">
        <f>'Fixed Fee'!AD30*9</f>
        <v>0</v>
      </c>
      <c r="V22" s="53">
        <f>'Fixed Fee'!AE30*9</f>
        <v>0</v>
      </c>
      <c r="W22" s="53">
        <f>'Fixed Fee'!AF30*9</f>
        <v>0</v>
      </c>
      <c r="X22" s="53">
        <f>'Fixed Fee'!AG30*9</f>
        <v>0</v>
      </c>
      <c r="Y22" s="53">
        <f>'Fixed Fee'!AH30*9</f>
        <v>0</v>
      </c>
      <c r="Z22" s="53">
        <f>'Fixed Fee'!AI30*9</f>
        <v>0</v>
      </c>
      <c r="AA22" s="53">
        <f>'Fixed Fee'!AJ30*9</f>
        <v>0</v>
      </c>
      <c r="AB22" s="53">
        <f>'Fixed Fee'!AK30*9</f>
        <v>0</v>
      </c>
      <c r="AC22" s="53">
        <f>'Fixed Fee'!AL30*9</f>
        <v>0</v>
      </c>
      <c r="AD22" s="53">
        <f>'Fixed Fee'!AM30*9</f>
        <v>0</v>
      </c>
      <c r="AE22" s="53">
        <f>'Fixed Fee'!AN30*9</f>
        <v>0</v>
      </c>
      <c r="AF22" s="53">
        <f>'Fixed Fee'!AO30*9</f>
        <v>0</v>
      </c>
      <c r="AG22" s="53">
        <f>'Fixed Fee'!AP30*9</f>
        <v>0</v>
      </c>
      <c r="AH22" s="53">
        <f>'Fixed Fee'!AQ30*9</f>
        <v>0</v>
      </c>
      <c r="AI22" s="53">
        <f>'Fixed Fee'!AR30*9</f>
        <v>0</v>
      </c>
      <c r="AJ22" s="53">
        <f>'Fixed Fee'!AS30*9</f>
        <v>0</v>
      </c>
      <c r="AK22" s="53">
        <f>'Fixed Fee'!AT30*9</f>
        <v>0</v>
      </c>
      <c r="AL22" s="53">
        <f>'Fixed Fee'!AU30*9</f>
        <v>0</v>
      </c>
      <c r="AM22" s="53">
        <f>'Fixed Fee'!AV30*9</f>
        <v>0</v>
      </c>
      <c r="AN22" s="53">
        <f>'Fixed Fee'!AW30*9</f>
        <v>0</v>
      </c>
      <c r="AO22" s="53">
        <f>'Fixed Fee'!AX30*9</f>
        <v>0</v>
      </c>
      <c r="AP22" s="53">
        <f>'Fixed Fee'!AY30*9</f>
        <v>0</v>
      </c>
      <c r="AQ22" s="53">
        <f>'Fixed Fee'!AZ30*9</f>
        <v>0</v>
      </c>
      <c r="AR22" s="53">
        <f>'Fixed Fee'!BA30*9</f>
        <v>0</v>
      </c>
      <c r="AS22" s="53">
        <f>'Fixed Fee'!BB30*9</f>
        <v>0</v>
      </c>
      <c r="AT22" s="53">
        <f>'Fixed Fee'!BC30*9</f>
        <v>0</v>
      </c>
      <c r="AU22" s="53">
        <f>'Fixed Fee'!BD30*9</f>
        <v>0</v>
      </c>
      <c r="AV22" s="53">
        <f>'Fixed Fee'!BE30*9</f>
        <v>0</v>
      </c>
      <c r="AW22" s="53">
        <f>'Fixed Fee'!BF30*9</f>
        <v>0</v>
      </c>
      <c r="AX22" s="53">
        <f>'Fixed Fee'!BG30*9</f>
        <v>0</v>
      </c>
      <c r="AY22" s="53">
        <f>'Fixed Fee'!BH30*9</f>
        <v>0</v>
      </c>
      <c r="AZ22" s="53">
        <f>'Fixed Fee'!BI30*9</f>
        <v>0</v>
      </c>
      <c r="BA22" s="53">
        <f>'Fixed Fee'!BJ30*9</f>
        <v>0</v>
      </c>
      <c r="BB22" s="53">
        <f>'Fixed Fee'!BK30*9</f>
        <v>0</v>
      </c>
      <c r="BC22" s="53">
        <f>'Fixed Fee'!BL30*9</f>
        <v>0</v>
      </c>
      <c r="BD22" s="53">
        <f>'Fixed Fee'!BM30*9</f>
        <v>0</v>
      </c>
      <c r="BE22" s="53">
        <f>'Fixed Fee'!BN30*9</f>
        <v>0</v>
      </c>
      <c r="BF22" s="53">
        <f>'Fixed Fee'!BO30*9</f>
        <v>0</v>
      </c>
      <c r="BG22" s="53">
        <f>'Fixed Fee'!BP30*9</f>
        <v>0</v>
      </c>
      <c r="BH22" s="53">
        <f>'Fixed Fee'!BQ30*9</f>
        <v>0</v>
      </c>
      <c r="BI22" s="53">
        <f>'Fixed Fee'!BR30*9</f>
        <v>0</v>
      </c>
      <c r="BJ22" s="53">
        <f>'Fixed Fee'!BS30*9</f>
        <v>0</v>
      </c>
      <c r="BK22" s="53">
        <f>'Fixed Fee'!BT30*9</f>
        <v>0</v>
      </c>
      <c r="BL22" s="53">
        <f>'Fixed Fee'!BU30*9</f>
        <v>0</v>
      </c>
      <c r="BM22" s="53">
        <f>'Fixed Fee'!BV30*9</f>
        <v>0</v>
      </c>
      <c r="BN22" s="53">
        <f>'Fixed Fee'!BW30*9</f>
        <v>0</v>
      </c>
      <c r="BO22" s="53">
        <f>'Fixed Fee'!BX30*9</f>
        <v>0</v>
      </c>
      <c r="BP22" s="53">
        <f>'Fixed Fee'!BY30*9</f>
        <v>0</v>
      </c>
      <c r="BQ22" s="53">
        <f>'Fixed Fee'!BZ30*9</f>
        <v>0</v>
      </c>
      <c r="BR22" s="53">
        <f>'Fixed Fee'!CA30*9</f>
        <v>0</v>
      </c>
      <c r="BS22" s="53">
        <f>'Fixed Fee'!CB30*9</f>
        <v>0</v>
      </c>
      <c r="BT22" s="53">
        <f>'Fixed Fee'!CC30*9</f>
        <v>0</v>
      </c>
      <c r="BU22" s="53">
        <f>'Fixed Fee'!CD30*9</f>
        <v>0</v>
      </c>
      <c r="BV22" s="53">
        <f>'Fixed Fee'!CE30*9</f>
        <v>0</v>
      </c>
      <c r="BW22" s="53">
        <f>'Fixed Fee'!CF30*9</f>
        <v>0</v>
      </c>
      <c r="BX22" s="53">
        <f>'Fixed Fee'!CG30*9</f>
        <v>0</v>
      </c>
      <c r="BY22" s="53">
        <f>'Fixed Fee'!CH30*9</f>
        <v>0</v>
      </c>
    </row>
    <row r="23" spans="1:77" s="43" customFormat="1" ht="13" x14ac:dyDescent="0.45">
      <c r="A23" s="46">
        <f>'Fixed Fee'!C35</f>
        <v>0</v>
      </c>
      <c r="B23" s="53">
        <f>'Fixed Fee'!K34*9</f>
        <v>0</v>
      </c>
      <c r="C23" s="53">
        <f>'Fixed Fee'!L34*9</f>
        <v>0</v>
      </c>
      <c r="D23" s="53">
        <f>'Fixed Fee'!M34*9</f>
        <v>0</v>
      </c>
      <c r="E23" s="53">
        <f>'Fixed Fee'!N34*9</f>
        <v>0</v>
      </c>
      <c r="F23" s="53">
        <f>'Fixed Fee'!O34*9</f>
        <v>0</v>
      </c>
      <c r="G23" s="53">
        <f>'Fixed Fee'!P34*9</f>
        <v>0</v>
      </c>
      <c r="H23" s="53">
        <f>'Fixed Fee'!Q34*9</f>
        <v>0</v>
      </c>
      <c r="I23" s="53">
        <f>'Fixed Fee'!R34*9</f>
        <v>0</v>
      </c>
      <c r="J23" s="53">
        <f>'Fixed Fee'!S34*9</f>
        <v>0</v>
      </c>
      <c r="K23" s="53">
        <f>'Fixed Fee'!T34*9</f>
        <v>0</v>
      </c>
      <c r="L23" s="53">
        <f>'Fixed Fee'!U34*9</f>
        <v>0</v>
      </c>
      <c r="M23" s="53">
        <f>'Fixed Fee'!V34*9</f>
        <v>0</v>
      </c>
      <c r="N23" s="53">
        <f>'Fixed Fee'!W34*9</f>
        <v>0</v>
      </c>
      <c r="O23" s="53">
        <f>'Fixed Fee'!X34*9</f>
        <v>0</v>
      </c>
      <c r="P23" s="53">
        <f>'Fixed Fee'!Y34*9</f>
        <v>0</v>
      </c>
      <c r="Q23" s="53">
        <f>'Fixed Fee'!Z34*9</f>
        <v>0</v>
      </c>
      <c r="R23" s="53">
        <f>'Fixed Fee'!AA34*9</f>
        <v>0</v>
      </c>
      <c r="S23" s="53">
        <f>'Fixed Fee'!AB34*9</f>
        <v>0</v>
      </c>
      <c r="T23" s="53">
        <f>'Fixed Fee'!AC34*9</f>
        <v>0</v>
      </c>
      <c r="U23" s="53">
        <f>'Fixed Fee'!AD34*9</f>
        <v>0</v>
      </c>
      <c r="V23" s="53">
        <f>'Fixed Fee'!AE34*9</f>
        <v>0</v>
      </c>
      <c r="W23" s="53">
        <f>'Fixed Fee'!AF34*9</f>
        <v>0</v>
      </c>
      <c r="X23" s="53">
        <f>'Fixed Fee'!AG34*9</f>
        <v>0</v>
      </c>
      <c r="Y23" s="53">
        <f>'Fixed Fee'!AH34*9</f>
        <v>0</v>
      </c>
      <c r="Z23" s="53">
        <f>'Fixed Fee'!AI34*9</f>
        <v>0</v>
      </c>
      <c r="AA23" s="53">
        <f>'Fixed Fee'!AJ34*9</f>
        <v>0</v>
      </c>
      <c r="AB23" s="53">
        <f>'Fixed Fee'!AK34*9</f>
        <v>0</v>
      </c>
      <c r="AC23" s="53">
        <f>'Fixed Fee'!AL34*9</f>
        <v>0</v>
      </c>
      <c r="AD23" s="53">
        <f>'Fixed Fee'!AM34*9</f>
        <v>0</v>
      </c>
      <c r="AE23" s="53">
        <f>'Fixed Fee'!AN34*9</f>
        <v>0</v>
      </c>
      <c r="AF23" s="53">
        <f>'Fixed Fee'!AO34*9</f>
        <v>0</v>
      </c>
      <c r="AG23" s="53">
        <f>'Fixed Fee'!AP34*9</f>
        <v>0</v>
      </c>
      <c r="AH23" s="53">
        <f>'Fixed Fee'!AQ34*9</f>
        <v>0</v>
      </c>
      <c r="AI23" s="53">
        <f>'Fixed Fee'!AR34*9</f>
        <v>0</v>
      </c>
      <c r="AJ23" s="53">
        <f>'Fixed Fee'!AS34*9</f>
        <v>0</v>
      </c>
      <c r="AK23" s="53">
        <f>'Fixed Fee'!AT34*9</f>
        <v>0</v>
      </c>
      <c r="AL23" s="53">
        <f>'Fixed Fee'!AU34*9</f>
        <v>0</v>
      </c>
      <c r="AM23" s="53">
        <f>'Fixed Fee'!AV34*9</f>
        <v>0</v>
      </c>
      <c r="AN23" s="53">
        <f>'Fixed Fee'!AW34*9</f>
        <v>0</v>
      </c>
      <c r="AO23" s="53">
        <f>'Fixed Fee'!AX34*9</f>
        <v>0</v>
      </c>
      <c r="AP23" s="53">
        <f>'Fixed Fee'!AY34*9</f>
        <v>0</v>
      </c>
      <c r="AQ23" s="53">
        <f>'Fixed Fee'!AZ34*9</f>
        <v>0</v>
      </c>
      <c r="AR23" s="53">
        <f>'Fixed Fee'!BA34*9</f>
        <v>0</v>
      </c>
      <c r="AS23" s="53">
        <f>'Fixed Fee'!BB34*9</f>
        <v>0</v>
      </c>
      <c r="AT23" s="53">
        <f>'Fixed Fee'!BC34*9</f>
        <v>0</v>
      </c>
      <c r="AU23" s="53">
        <f>'Fixed Fee'!BD34*9</f>
        <v>0</v>
      </c>
      <c r="AV23" s="53">
        <f>'Fixed Fee'!BE34*9</f>
        <v>0</v>
      </c>
      <c r="AW23" s="53">
        <f>'Fixed Fee'!BF34*9</f>
        <v>0</v>
      </c>
      <c r="AX23" s="53">
        <f>'Fixed Fee'!BG34*9</f>
        <v>0</v>
      </c>
      <c r="AY23" s="53">
        <f>'Fixed Fee'!BH34*9</f>
        <v>0</v>
      </c>
      <c r="AZ23" s="53">
        <f>'Fixed Fee'!BI34*9</f>
        <v>0</v>
      </c>
      <c r="BA23" s="53">
        <f>'Fixed Fee'!BJ34*9</f>
        <v>0</v>
      </c>
      <c r="BB23" s="53">
        <f>'Fixed Fee'!BK34*9</f>
        <v>0</v>
      </c>
      <c r="BC23" s="53">
        <f>'Fixed Fee'!BL34*9</f>
        <v>0</v>
      </c>
      <c r="BD23" s="53">
        <f>'Fixed Fee'!BM34*9</f>
        <v>0</v>
      </c>
      <c r="BE23" s="53">
        <f>'Fixed Fee'!BN34*9</f>
        <v>0</v>
      </c>
      <c r="BF23" s="53">
        <f>'Fixed Fee'!BO34*9</f>
        <v>0</v>
      </c>
      <c r="BG23" s="53">
        <f>'Fixed Fee'!BP34*9</f>
        <v>0</v>
      </c>
      <c r="BH23" s="53">
        <f>'Fixed Fee'!BQ34*9</f>
        <v>0</v>
      </c>
      <c r="BI23" s="53">
        <f>'Fixed Fee'!BR34*9</f>
        <v>0</v>
      </c>
      <c r="BJ23" s="53">
        <f>'Fixed Fee'!BS34*9</f>
        <v>0</v>
      </c>
      <c r="BK23" s="53">
        <f>'Fixed Fee'!BT34*9</f>
        <v>0</v>
      </c>
      <c r="BL23" s="53">
        <f>'Fixed Fee'!BU34*9</f>
        <v>0</v>
      </c>
      <c r="BM23" s="53">
        <f>'Fixed Fee'!BV34*9</f>
        <v>0</v>
      </c>
      <c r="BN23" s="53">
        <f>'Fixed Fee'!BW34*9</f>
        <v>0</v>
      </c>
      <c r="BO23" s="53">
        <f>'Fixed Fee'!BX34*9</f>
        <v>0</v>
      </c>
      <c r="BP23" s="53">
        <f>'Fixed Fee'!BY34*9</f>
        <v>0</v>
      </c>
      <c r="BQ23" s="53">
        <f>'Fixed Fee'!BZ34*9</f>
        <v>0</v>
      </c>
      <c r="BR23" s="53">
        <f>'Fixed Fee'!CA34*9</f>
        <v>0</v>
      </c>
      <c r="BS23" s="53">
        <f>'Fixed Fee'!CB34*9</f>
        <v>0</v>
      </c>
      <c r="BT23" s="53">
        <f>'Fixed Fee'!CC34*9</f>
        <v>0</v>
      </c>
      <c r="BU23" s="53">
        <f>'Fixed Fee'!CD34*9</f>
        <v>0</v>
      </c>
      <c r="BV23" s="53">
        <f>'Fixed Fee'!CE34*9</f>
        <v>0</v>
      </c>
      <c r="BW23" s="53">
        <f>'Fixed Fee'!CF34*9</f>
        <v>0</v>
      </c>
      <c r="BX23" s="53">
        <f>'Fixed Fee'!CG34*9</f>
        <v>0</v>
      </c>
      <c r="BY23" s="53">
        <f>'Fixed Fee'!CH34*9</f>
        <v>0</v>
      </c>
    </row>
    <row r="24" spans="1:77" s="43" customFormat="1" ht="13" x14ac:dyDescent="0.45">
      <c r="A24" s="46">
        <f>'Fixed Fee'!C36</f>
        <v>0</v>
      </c>
      <c r="B24" s="53">
        <f>'Fixed Fee'!K35*9</f>
        <v>0</v>
      </c>
      <c r="C24" s="53">
        <f>'Fixed Fee'!L35*9</f>
        <v>0</v>
      </c>
      <c r="D24" s="53">
        <f>'Fixed Fee'!M35*9</f>
        <v>0</v>
      </c>
      <c r="E24" s="53">
        <f>'Fixed Fee'!N35*9</f>
        <v>0</v>
      </c>
      <c r="F24" s="53">
        <f>'Fixed Fee'!O35*9</f>
        <v>0</v>
      </c>
      <c r="G24" s="53">
        <f>'Fixed Fee'!P35*9</f>
        <v>0</v>
      </c>
      <c r="H24" s="53">
        <f>'Fixed Fee'!Q35*9</f>
        <v>0</v>
      </c>
      <c r="I24" s="53">
        <f>'Fixed Fee'!R35*9</f>
        <v>0</v>
      </c>
      <c r="J24" s="53">
        <f>'Fixed Fee'!S35*9</f>
        <v>0</v>
      </c>
      <c r="K24" s="53">
        <f>'Fixed Fee'!T35*9</f>
        <v>0</v>
      </c>
      <c r="L24" s="53">
        <f>'Fixed Fee'!U35*9</f>
        <v>0</v>
      </c>
      <c r="M24" s="53">
        <f>'Fixed Fee'!V35*9</f>
        <v>0</v>
      </c>
      <c r="N24" s="53">
        <f>'Fixed Fee'!W35*9</f>
        <v>0</v>
      </c>
      <c r="O24" s="53">
        <f>'Fixed Fee'!X35*9</f>
        <v>0</v>
      </c>
      <c r="P24" s="53">
        <f>'Fixed Fee'!Y35*9</f>
        <v>0</v>
      </c>
      <c r="Q24" s="53">
        <f>'Fixed Fee'!Z35*9</f>
        <v>0</v>
      </c>
      <c r="R24" s="53">
        <f>'Fixed Fee'!AA35*9</f>
        <v>0</v>
      </c>
      <c r="S24" s="53">
        <f>'Fixed Fee'!AB35*9</f>
        <v>0</v>
      </c>
      <c r="T24" s="53">
        <f>'Fixed Fee'!AC35*9</f>
        <v>0</v>
      </c>
      <c r="U24" s="53">
        <f>'Fixed Fee'!AD35*9</f>
        <v>0</v>
      </c>
      <c r="V24" s="53">
        <f>'Fixed Fee'!AE35*9</f>
        <v>0</v>
      </c>
      <c r="W24" s="53">
        <f>'Fixed Fee'!AF35*9</f>
        <v>0</v>
      </c>
      <c r="X24" s="53">
        <f>'Fixed Fee'!AG35*9</f>
        <v>0</v>
      </c>
      <c r="Y24" s="53">
        <f>'Fixed Fee'!AH35*9</f>
        <v>0</v>
      </c>
      <c r="Z24" s="53">
        <f>'Fixed Fee'!AI35*9</f>
        <v>0</v>
      </c>
      <c r="AA24" s="53">
        <f>'Fixed Fee'!AJ35*9</f>
        <v>0</v>
      </c>
      <c r="AB24" s="53">
        <f>'Fixed Fee'!AK35*9</f>
        <v>0</v>
      </c>
      <c r="AC24" s="53">
        <f>'Fixed Fee'!AL35*9</f>
        <v>0</v>
      </c>
      <c r="AD24" s="53">
        <f>'Fixed Fee'!AM35*9</f>
        <v>0</v>
      </c>
      <c r="AE24" s="53">
        <f>'Fixed Fee'!AN35*9</f>
        <v>0</v>
      </c>
      <c r="AF24" s="53">
        <f>'Fixed Fee'!AO35*9</f>
        <v>0</v>
      </c>
      <c r="AG24" s="53">
        <f>'Fixed Fee'!AP35*9</f>
        <v>0</v>
      </c>
      <c r="AH24" s="53">
        <f>'Fixed Fee'!AQ35*9</f>
        <v>0</v>
      </c>
      <c r="AI24" s="53">
        <f>'Fixed Fee'!AR35*9</f>
        <v>0</v>
      </c>
      <c r="AJ24" s="53">
        <f>'Fixed Fee'!AS35*9</f>
        <v>0</v>
      </c>
      <c r="AK24" s="53">
        <f>'Fixed Fee'!AT35*9</f>
        <v>0</v>
      </c>
      <c r="AL24" s="53">
        <f>'Fixed Fee'!AU35*9</f>
        <v>0</v>
      </c>
      <c r="AM24" s="53">
        <f>'Fixed Fee'!AV35*9</f>
        <v>0</v>
      </c>
      <c r="AN24" s="53">
        <f>'Fixed Fee'!AW35*9</f>
        <v>0</v>
      </c>
      <c r="AO24" s="53">
        <f>'Fixed Fee'!AX35*9</f>
        <v>0</v>
      </c>
      <c r="AP24" s="53">
        <f>'Fixed Fee'!AY35*9</f>
        <v>0</v>
      </c>
      <c r="AQ24" s="53">
        <f>'Fixed Fee'!AZ35*9</f>
        <v>0</v>
      </c>
      <c r="AR24" s="53">
        <f>'Fixed Fee'!BA35*9</f>
        <v>0</v>
      </c>
      <c r="AS24" s="53">
        <f>'Fixed Fee'!BB35*9</f>
        <v>0</v>
      </c>
      <c r="AT24" s="53">
        <f>'Fixed Fee'!BC35*9</f>
        <v>0</v>
      </c>
      <c r="AU24" s="53">
        <f>'Fixed Fee'!BD35*9</f>
        <v>0</v>
      </c>
      <c r="AV24" s="53">
        <f>'Fixed Fee'!BE35*9</f>
        <v>0</v>
      </c>
      <c r="AW24" s="53">
        <f>'Fixed Fee'!BF35*9</f>
        <v>0</v>
      </c>
      <c r="AX24" s="53">
        <f>'Fixed Fee'!BG35*9</f>
        <v>0</v>
      </c>
      <c r="AY24" s="53">
        <f>'Fixed Fee'!BH35*9</f>
        <v>0</v>
      </c>
      <c r="AZ24" s="53">
        <f>'Fixed Fee'!BI35*9</f>
        <v>0</v>
      </c>
      <c r="BA24" s="53">
        <f>'Fixed Fee'!BJ35*9</f>
        <v>0</v>
      </c>
      <c r="BB24" s="53">
        <f>'Fixed Fee'!BK35*9</f>
        <v>0</v>
      </c>
      <c r="BC24" s="53">
        <f>'Fixed Fee'!BL35*9</f>
        <v>0</v>
      </c>
      <c r="BD24" s="53">
        <f>'Fixed Fee'!BM35*9</f>
        <v>0</v>
      </c>
      <c r="BE24" s="53">
        <f>'Fixed Fee'!BN35*9</f>
        <v>0</v>
      </c>
      <c r="BF24" s="53">
        <f>'Fixed Fee'!BO35*9</f>
        <v>0</v>
      </c>
      <c r="BG24" s="53">
        <f>'Fixed Fee'!BP35*9</f>
        <v>0</v>
      </c>
      <c r="BH24" s="53">
        <f>'Fixed Fee'!BQ35*9</f>
        <v>0</v>
      </c>
      <c r="BI24" s="53">
        <f>'Fixed Fee'!BR35*9</f>
        <v>0</v>
      </c>
      <c r="BJ24" s="53">
        <f>'Fixed Fee'!BS35*9</f>
        <v>0</v>
      </c>
      <c r="BK24" s="53">
        <f>'Fixed Fee'!BT35*9</f>
        <v>0</v>
      </c>
      <c r="BL24" s="53">
        <f>'Fixed Fee'!BU35*9</f>
        <v>0</v>
      </c>
      <c r="BM24" s="53">
        <f>'Fixed Fee'!BV35*9</f>
        <v>0</v>
      </c>
      <c r="BN24" s="53">
        <f>'Fixed Fee'!BW35*9</f>
        <v>0</v>
      </c>
      <c r="BO24" s="53">
        <f>'Fixed Fee'!BX35*9</f>
        <v>0</v>
      </c>
      <c r="BP24" s="53">
        <f>'Fixed Fee'!BY35*9</f>
        <v>0</v>
      </c>
      <c r="BQ24" s="53">
        <f>'Fixed Fee'!BZ35*9</f>
        <v>0</v>
      </c>
      <c r="BR24" s="53">
        <f>'Fixed Fee'!CA35*9</f>
        <v>0</v>
      </c>
      <c r="BS24" s="53">
        <f>'Fixed Fee'!CB35*9</f>
        <v>0</v>
      </c>
      <c r="BT24" s="53">
        <f>'Fixed Fee'!CC35*9</f>
        <v>0</v>
      </c>
      <c r="BU24" s="53">
        <f>'Fixed Fee'!CD35*9</f>
        <v>0</v>
      </c>
      <c r="BV24" s="53">
        <f>'Fixed Fee'!CE35*9</f>
        <v>0</v>
      </c>
      <c r="BW24" s="53">
        <f>'Fixed Fee'!CF35*9</f>
        <v>0</v>
      </c>
      <c r="BX24" s="53">
        <f>'Fixed Fee'!CG35*9</f>
        <v>0</v>
      </c>
      <c r="BY24" s="53">
        <f>'Fixed Fee'!CH35*9</f>
        <v>0</v>
      </c>
    </row>
    <row r="25" spans="1:77" s="44" customFormat="1" ht="12.75" customHeight="1" thickBot="1" x14ac:dyDescent="0.45">
      <c r="B25" s="54"/>
      <c r="C25" s="54"/>
      <c r="D25" s="54"/>
      <c r="E25" s="54"/>
      <c r="F25" s="54"/>
      <c r="G25" s="54"/>
      <c r="H25" s="54"/>
      <c r="I25" s="54"/>
      <c r="J25" s="54"/>
      <c r="K25" s="54"/>
      <c r="L25" s="54"/>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54"/>
      <c r="BH25" s="54"/>
      <c r="BI25" s="54"/>
      <c r="BJ25" s="54"/>
      <c r="BK25" s="54"/>
      <c r="BL25" s="54"/>
      <c r="BM25" s="54"/>
      <c r="BN25" s="54"/>
      <c r="BO25" s="54"/>
      <c r="BP25" s="54"/>
      <c r="BQ25" s="54"/>
      <c r="BR25" s="54"/>
      <c r="BS25" s="54"/>
      <c r="BT25" s="54"/>
      <c r="BU25" s="54"/>
      <c r="BV25" s="54"/>
      <c r="BW25" s="54"/>
      <c r="BX25" s="54"/>
      <c r="BY25" s="54"/>
    </row>
    <row r="26" spans="1:77" ht="26.25" customHeight="1" x14ac:dyDescent="0.4">
      <c r="A26" s="42" t="str">
        <f>'Fixed Fee'!C37</f>
        <v>Employee Name</v>
      </c>
      <c r="B26" s="42" t="str">
        <f>'Fixed Fee'!K37</f>
        <v>Week 1</v>
      </c>
      <c r="C26" s="42" t="str">
        <f>'Fixed Fee'!L37</f>
        <v>Week 2</v>
      </c>
      <c r="D26" s="42" t="str">
        <f>'Fixed Fee'!M37</f>
        <v>Week 3</v>
      </c>
      <c r="E26" s="42" t="str">
        <f>'Fixed Fee'!N37</f>
        <v>Week 4</v>
      </c>
      <c r="F26" s="42" t="str">
        <f>'Fixed Fee'!O37</f>
        <v>Week 5</v>
      </c>
      <c r="G26" s="42" t="str">
        <f>'Fixed Fee'!P37</f>
        <v>Week 6</v>
      </c>
      <c r="H26" s="42" t="str">
        <f>'Fixed Fee'!Q37</f>
        <v>Week 7</v>
      </c>
      <c r="I26" s="42" t="str">
        <f>'Fixed Fee'!R37</f>
        <v>Week 8</v>
      </c>
      <c r="J26" s="42" t="str">
        <f>'Fixed Fee'!S37</f>
        <v>Week 9</v>
      </c>
      <c r="K26" s="42" t="str">
        <f>'Fixed Fee'!T37</f>
        <v>Week 10</v>
      </c>
      <c r="L26" s="42" t="str">
        <f>'Fixed Fee'!U37</f>
        <v>Week 11</v>
      </c>
      <c r="M26" s="42" t="str">
        <f>'Fixed Fee'!V37</f>
        <v>Week 12</v>
      </c>
      <c r="N26" s="42" t="str">
        <f>'Fixed Fee'!W37</f>
        <v>Week 13</v>
      </c>
      <c r="O26" s="42" t="str">
        <f>'Fixed Fee'!X37</f>
        <v>Week 14</v>
      </c>
      <c r="P26" s="42" t="str">
        <f>'Fixed Fee'!Y37</f>
        <v>Week 15</v>
      </c>
      <c r="Q26" s="42" t="str">
        <f>'Fixed Fee'!Z37</f>
        <v>Week 16</v>
      </c>
      <c r="R26" s="42" t="str">
        <f>'Fixed Fee'!AA37</f>
        <v>Week 17</v>
      </c>
      <c r="S26" s="42" t="str">
        <f>'Fixed Fee'!AB37</f>
        <v>Week 18</v>
      </c>
      <c r="T26" s="42" t="str">
        <f>'Fixed Fee'!AC37</f>
        <v>Week 19</v>
      </c>
      <c r="U26" s="42" t="str">
        <f>'Fixed Fee'!AD37</f>
        <v>Week 20</v>
      </c>
      <c r="V26" s="42" t="str">
        <f>'Fixed Fee'!AE37</f>
        <v>Week 21</v>
      </c>
      <c r="W26" s="42" t="str">
        <f>'Fixed Fee'!AF37</f>
        <v>Week 22</v>
      </c>
      <c r="X26" s="42" t="str">
        <f>'Fixed Fee'!AG37</f>
        <v>Week 23</v>
      </c>
      <c r="Y26" s="42" t="str">
        <f>'Fixed Fee'!AH37</f>
        <v>Week 24</v>
      </c>
      <c r="Z26" s="42" t="str">
        <f>'Fixed Fee'!AI37</f>
        <v>Week 25</v>
      </c>
      <c r="AA26" s="42" t="str">
        <f>'Fixed Fee'!AJ37</f>
        <v>Week 26</v>
      </c>
      <c r="AB26" s="42" t="str">
        <f>'Fixed Fee'!AK37</f>
        <v>Week 27</v>
      </c>
      <c r="AC26" s="42" t="str">
        <f>'Fixed Fee'!AL37</f>
        <v>Week 28</v>
      </c>
      <c r="AD26" s="42" t="str">
        <f>'Fixed Fee'!AM37</f>
        <v>Week 29</v>
      </c>
      <c r="AE26" s="42" t="str">
        <f>'Fixed Fee'!AN37</f>
        <v>Week 30</v>
      </c>
      <c r="AF26" s="42" t="str">
        <f>'Fixed Fee'!AO37</f>
        <v>Week 31</v>
      </c>
      <c r="AG26" s="42" t="str">
        <f>'Fixed Fee'!AP37</f>
        <v>Week 32</v>
      </c>
      <c r="AH26" s="42" t="str">
        <f>'Fixed Fee'!AQ37</f>
        <v>Week 33</v>
      </c>
      <c r="AI26" s="42" t="str">
        <f>'Fixed Fee'!AR37</f>
        <v>Week 34</v>
      </c>
      <c r="AJ26" s="42" t="str">
        <f>'Fixed Fee'!AS37</f>
        <v>Week 35</v>
      </c>
      <c r="AK26" s="42" t="str">
        <f>'Fixed Fee'!AT37</f>
        <v>Week 36</v>
      </c>
      <c r="AL26" s="42" t="str">
        <f>'Fixed Fee'!AU37</f>
        <v>Week 37</v>
      </c>
      <c r="AM26" s="42" t="str">
        <f>'Fixed Fee'!AV37</f>
        <v>Week 38</v>
      </c>
      <c r="AN26" s="42" t="str">
        <f>'Fixed Fee'!AW37</f>
        <v>Week 39</v>
      </c>
      <c r="AO26" s="42" t="str">
        <f>'Fixed Fee'!AX37</f>
        <v>Week 40</v>
      </c>
      <c r="AP26" s="42" t="str">
        <f>'Fixed Fee'!AY37</f>
        <v>Week 41</v>
      </c>
      <c r="AQ26" s="42" t="str">
        <f>'Fixed Fee'!AZ37</f>
        <v>Week 42</v>
      </c>
      <c r="AR26" s="42" t="str">
        <f>'Fixed Fee'!BA37</f>
        <v>Week 43</v>
      </c>
      <c r="AS26" s="42" t="str">
        <f>'Fixed Fee'!BB37</f>
        <v>Week 44</v>
      </c>
      <c r="AT26" s="42" t="str">
        <f>'Fixed Fee'!BC37</f>
        <v>Week 45</v>
      </c>
      <c r="AU26" s="42" t="str">
        <f>'Fixed Fee'!BD37</f>
        <v>Week 46</v>
      </c>
      <c r="AV26" s="42" t="str">
        <f>'Fixed Fee'!BE37</f>
        <v>Week 47</v>
      </c>
      <c r="AW26" s="42" t="str">
        <f>'Fixed Fee'!BF37</f>
        <v>Week 48</v>
      </c>
      <c r="AX26" s="42" t="str">
        <f>'Fixed Fee'!BG37</f>
        <v>Week 49</v>
      </c>
      <c r="AY26" s="42" t="str">
        <f>'Fixed Fee'!BH37</f>
        <v>Week 50</v>
      </c>
      <c r="AZ26" s="42" t="str">
        <f>'Fixed Fee'!BI37</f>
        <v>Week 51</v>
      </c>
      <c r="BA26" s="42" t="str">
        <f>'Fixed Fee'!BJ37</f>
        <v>Week 52</v>
      </c>
      <c r="BB26" s="42" t="str">
        <f>'Fixed Fee'!BK37</f>
        <v>Week 53</v>
      </c>
      <c r="BC26" s="42" t="str">
        <f>'Fixed Fee'!BL37</f>
        <v>Week 54</v>
      </c>
      <c r="BD26" s="42" t="str">
        <f>'Fixed Fee'!BM37</f>
        <v>Week 55</v>
      </c>
      <c r="BE26" s="42" t="str">
        <f>'Fixed Fee'!BN37</f>
        <v>Week 56</v>
      </c>
      <c r="BF26" s="42" t="str">
        <f>'Fixed Fee'!BO37</f>
        <v>Week 57</v>
      </c>
      <c r="BG26" s="42" t="str">
        <f>'Fixed Fee'!BP37</f>
        <v>Week 58</v>
      </c>
      <c r="BH26" s="42" t="str">
        <f>'Fixed Fee'!BQ37</f>
        <v>Week 59</v>
      </c>
      <c r="BI26" s="42" t="str">
        <f>'Fixed Fee'!BR37</f>
        <v>Week 60</v>
      </c>
      <c r="BJ26" s="42" t="str">
        <f>'Fixed Fee'!BS37</f>
        <v>Week 61</v>
      </c>
      <c r="BK26" s="42" t="str">
        <f>'Fixed Fee'!BT37</f>
        <v>Week 62</v>
      </c>
      <c r="BL26" s="42" t="str">
        <f>'Fixed Fee'!BU37</f>
        <v>Week 63</v>
      </c>
      <c r="BM26" s="42" t="str">
        <f>'Fixed Fee'!BV37</f>
        <v>Week 64</v>
      </c>
      <c r="BN26" s="42" t="str">
        <f>'Fixed Fee'!BW37</f>
        <v>Week 65</v>
      </c>
      <c r="BO26" s="42" t="str">
        <f>'Fixed Fee'!BX37</f>
        <v>Week 66</v>
      </c>
      <c r="BP26" s="42" t="str">
        <f>'Fixed Fee'!BY37</f>
        <v>Week 67</v>
      </c>
      <c r="BQ26" s="42" t="str">
        <f>'Fixed Fee'!BZ37</f>
        <v>Week 68</v>
      </c>
      <c r="BR26" s="42" t="str">
        <f>'Fixed Fee'!CA37</f>
        <v>Week 69</v>
      </c>
      <c r="BS26" s="42" t="str">
        <f>'Fixed Fee'!CB37</f>
        <v>Week 70</v>
      </c>
      <c r="BT26" s="42" t="str">
        <f>'Fixed Fee'!CC37</f>
        <v>Week 71</v>
      </c>
      <c r="BU26" s="42" t="str">
        <f>'Fixed Fee'!CD37</f>
        <v>Week 72</v>
      </c>
      <c r="BV26" s="42" t="str">
        <f>'Fixed Fee'!CE37</f>
        <v>Week 73</v>
      </c>
      <c r="BW26" s="42" t="str">
        <f>'Fixed Fee'!CF37</f>
        <v>Week 74</v>
      </c>
      <c r="BX26" s="42" t="str">
        <f>'Fixed Fee'!CG37</f>
        <v>Week 75</v>
      </c>
      <c r="BY26" s="42" t="str">
        <f>'Fixed Fee'!CH37</f>
        <v>Week 76</v>
      </c>
    </row>
    <row r="27" spans="1:77" s="43" customFormat="1" ht="13" x14ac:dyDescent="0.45">
      <c r="A27" s="46" t="str">
        <f>'Fixed Fee'!C39</f>
        <v>Project Controller</v>
      </c>
      <c r="B27" s="18">
        <f>'Fixed Fee'!K39*9</f>
        <v>9</v>
      </c>
      <c r="C27" s="18">
        <f>'Fixed Fee'!L39*9</f>
        <v>9</v>
      </c>
      <c r="D27" s="18">
        <f>'Fixed Fee'!M39*9</f>
        <v>9</v>
      </c>
      <c r="E27" s="18">
        <f>'Fixed Fee'!N39*9</f>
        <v>9</v>
      </c>
      <c r="F27" s="18">
        <f>'Fixed Fee'!O39*9</f>
        <v>9</v>
      </c>
      <c r="G27" s="18">
        <f>'Fixed Fee'!P39*9</f>
        <v>9</v>
      </c>
      <c r="H27" s="18">
        <f>'Fixed Fee'!Q39*9</f>
        <v>9</v>
      </c>
      <c r="I27" s="18">
        <f>'Fixed Fee'!R39*9</f>
        <v>9</v>
      </c>
      <c r="J27" s="18">
        <f>'Fixed Fee'!S39*9</f>
        <v>9</v>
      </c>
      <c r="K27" s="18">
        <f>'Fixed Fee'!T39*9</f>
        <v>9</v>
      </c>
      <c r="L27" s="18">
        <f>'Fixed Fee'!U39*9</f>
        <v>9</v>
      </c>
      <c r="M27" s="18">
        <f>'Fixed Fee'!V39*9</f>
        <v>0</v>
      </c>
      <c r="N27" s="18">
        <f>'Fixed Fee'!W39*9</f>
        <v>0</v>
      </c>
      <c r="O27" s="18">
        <f>'Fixed Fee'!X39*9</f>
        <v>9</v>
      </c>
      <c r="P27" s="18">
        <f>'Fixed Fee'!Y39*9</f>
        <v>9</v>
      </c>
      <c r="Q27" s="18">
        <f>'Fixed Fee'!Z39*9</f>
        <v>9</v>
      </c>
      <c r="R27" s="18">
        <f>'Fixed Fee'!AA39*9</f>
        <v>9</v>
      </c>
      <c r="S27" s="18">
        <f>'Fixed Fee'!AB39*9</f>
        <v>0</v>
      </c>
      <c r="T27" s="18">
        <f>'Fixed Fee'!AC39*9</f>
        <v>0</v>
      </c>
      <c r="U27" s="18">
        <f>'Fixed Fee'!AD39*9</f>
        <v>0</v>
      </c>
      <c r="V27" s="18">
        <f>'Fixed Fee'!AE39*9</f>
        <v>0</v>
      </c>
      <c r="W27" s="18">
        <f>'Fixed Fee'!AF39*9</f>
        <v>0</v>
      </c>
      <c r="X27" s="18">
        <f>'Fixed Fee'!AG39*9</f>
        <v>0</v>
      </c>
      <c r="Y27" s="18">
        <f>'Fixed Fee'!AH39*9</f>
        <v>0</v>
      </c>
      <c r="Z27" s="18">
        <f>'Fixed Fee'!AI39*9</f>
        <v>0</v>
      </c>
      <c r="AA27" s="18">
        <f>'Fixed Fee'!AJ39*9</f>
        <v>0</v>
      </c>
      <c r="AB27" s="18">
        <f>'Fixed Fee'!AK39*9</f>
        <v>0</v>
      </c>
      <c r="AC27" s="18">
        <f>'Fixed Fee'!AL39*9</f>
        <v>0</v>
      </c>
      <c r="AD27" s="18">
        <f>'Fixed Fee'!AM39*9</f>
        <v>0</v>
      </c>
      <c r="AE27" s="18">
        <f>'Fixed Fee'!AN39*9</f>
        <v>0</v>
      </c>
      <c r="AF27" s="18">
        <f>'Fixed Fee'!AO39*9</f>
        <v>0</v>
      </c>
      <c r="AG27" s="18">
        <f>'Fixed Fee'!AP39*9</f>
        <v>0</v>
      </c>
      <c r="AH27" s="18">
        <f>'Fixed Fee'!AQ39*9</f>
        <v>0</v>
      </c>
      <c r="AI27" s="18">
        <f>'Fixed Fee'!AR39*9</f>
        <v>0</v>
      </c>
      <c r="AJ27" s="18">
        <f>'Fixed Fee'!AS39*9</f>
        <v>0</v>
      </c>
      <c r="AK27" s="18">
        <f>'Fixed Fee'!AT39*9</f>
        <v>0</v>
      </c>
      <c r="AL27" s="18">
        <f>'Fixed Fee'!AU39*9</f>
        <v>0</v>
      </c>
      <c r="AM27" s="18">
        <f>'Fixed Fee'!AV39*9</f>
        <v>0</v>
      </c>
      <c r="AN27" s="18">
        <f>'Fixed Fee'!AW39*9</f>
        <v>0</v>
      </c>
      <c r="AO27" s="18">
        <f>'Fixed Fee'!AX39*9</f>
        <v>0</v>
      </c>
      <c r="AP27" s="18">
        <f>'Fixed Fee'!AY39*9</f>
        <v>0</v>
      </c>
      <c r="AQ27" s="18">
        <f>'Fixed Fee'!AZ39*9</f>
        <v>0</v>
      </c>
      <c r="AR27" s="18">
        <f>'Fixed Fee'!BA39*9</f>
        <v>0</v>
      </c>
      <c r="AS27" s="18">
        <f>'Fixed Fee'!BB39*9</f>
        <v>0</v>
      </c>
      <c r="AT27" s="18">
        <f>'Fixed Fee'!BC39*9</f>
        <v>0</v>
      </c>
      <c r="AU27" s="18">
        <f>'Fixed Fee'!BD39*9</f>
        <v>0</v>
      </c>
      <c r="AV27" s="18">
        <f>'Fixed Fee'!BE39*9</f>
        <v>0</v>
      </c>
      <c r="AW27" s="18">
        <f>'Fixed Fee'!BF39*9</f>
        <v>0</v>
      </c>
      <c r="AX27" s="18">
        <f>'Fixed Fee'!BG39*9</f>
        <v>0</v>
      </c>
      <c r="AY27" s="18">
        <f>'Fixed Fee'!BH39*9</f>
        <v>0</v>
      </c>
      <c r="AZ27" s="18">
        <f>'Fixed Fee'!BI39*9</f>
        <v>0</v>
      </c>
      <c r="BA27" s="18">
        <f>'Fixed Fee'!BJ39*9</f>
        <v>0</v>
      </c>
      <c r="BB27" s="18">
        <f>'Fixed Fee'!BK39*9</f>
        <v>0</v>
      </c>
      <c r="BC27" s="18">
        <f>'Fixed Fee'!BL39*9</f>
        <v>0</v>
      </c>
      <c r="BD27" s="18">
        <f>'Fixed Fee'!BM39*9</f>
        <v>0</v>
      </c>
      <c r="BE27" s="18">
        <f>'Fixed Fee'!BN39*9</f>
        <v>0</v>
      </c>
      <c r="BF27" s="18">
        <f>'Fixed Fee'!BO39*9</f>
        <v>0</v>
      </c>
      <c r="BG27" s="18">
        <f>'Fixed Fee'!BP39*9</f>
        <v>0</v>
      </c>
      <c r="BH27" s="18">
        <f>'Fixed Fee'!BQ39*9</f>
        <v>0</v>
      </c>
      <c r="BI27" s="18">
        <f>'Fixed Fee'!BR39*9</f>
        <v>0</v>
      </c>
      <c r="BJ27" s="18">
        <f>'Fixed Fee'!BS39*9</f>
        <v>0</v>
      </c>
      <c r="BK27" s="18">
        <f>'Fixed Fee'!BT39*9</f>
        <v>0</v>
      </c>
      <c r="BL27" s="18">
        <f>'Fixed Fee'!BU39*9</f>
        <v>0</v>
      </c>
      <c r="BM27" s="18">
        <f>'Fixed Fee'!BV39*9</f>
        <v>0</v>
      </c>
      <c r="BN27" s="18">
        <f>'Fixed Fee'!BW39*9</f>
        <v>0</v>
      </c>
      <c r="BO27" s="18">
        <f>'Fixed Fee'!BX39*9</f>
        <v>0</v>
      </c>
      <c r="BP27" s="18">
        <f>'Fixed Fee'!BY39*9</f>
        <v>0</v>
      </c>
      <c r="BQ27" s="18">
        <f>'Fixed Fee'!BZ39*9</f>
        <v>0</v>
      </c>
      <c r="BR27" s="18">
        <f>'Fixed Fee'!CA39*9</f>
        <v>0</v>
      </c>
      <c r="BS27" s="18">
        <f>'Fixed Fee'!CB39*9</f>
        <v>0</v>
      </c>
      <c r="BT27" s="18">
        <f>'Fixed Fee'!CC39*9</f>
        <v>0</v>
      </c>
      <c r="BU27" s="18">
        <f>'Fixed Fee'!CD39*9</f>
        <v>0</v>
      </c>
      <c r="BV27" s="18">
        <f>'Fixed Fee'!CE39*9</f>
        <v>0</v>
      </c>
      <c r="BW27" s="18">
        <f>'Fixed Fee'!CF39*9</f>
        <v>0</v>
      </c>
      <c r="BX27" s="18">
        <f>'Fixed Fee'!CG39*9</f>
        <v>0</v>
      </c>
      <c r="BY27" s="18">
        <f>'Fixed Fee'!CH39*9</f>
        <v>0</v>
      </c>
    </row>
    <row r="28" spans="1:77" s="43" customFormat="1" ht="13" x14ac:dyDescent="0.45">
      <c r="A28" s="46" t="str">
        <f>'Fixed Fee'!C40</f>
        <v>TBD-NS - Sr Developer</v>
      </c>
      <c r="B28" s="18">
        <f>'Fixed Fee'!K40*9</f>
        <v>0</v>
      </c>
      <c r="C28" s="18">
        <f>'Fixed Fee'!L40*9</f>
        <v>0</v>
      </c>
      <c r="D28" s="18">
        <f>'Fixed Fee'!M40*9</f>
        <v>0</v>
      </c>
      <c r="E28" s="18">
        <f>'Fixed Fee'!N40*9</f>
        <v>0</v>
      </c>
      <c r="F28" s="18">
        <f>'Fixed Fee'!O40*9</f>
        <v>0</v>
      </c>
      <c r="G28" s="18">
        <f>'Fixed Fee'!P40*9</f>
        <v>45</v>
      </c>
      <c r="H28" s="18">
        <f>'Fixed Fee'!Q40*9</f>
        <v>45</v>
      </c>
      <c r="I28" s="18">
        <f>'Fixed Fee'!R40*9</f>
        <v>45</v>
      </c>
      <c r="J28" s="18">
        <f>'Fixed Fee'!S40*9</f>
        <v>45</v>
      </c>
      <c r="K28" s="18">
        <f>'Fixed Fee'!T40*9</f>
        <v>45</v>
      </c>
      <c r="L28" s="18">
        <f>'Fixed Fee'!U40*9</f>
        <v>45</v>
      </c>
      <c r="M28" s="18">
        <f>'Fixed Fee'!V40*9</f>
        <v>0</v>
      </c>
      <c r="N28" s="18">
        <f>'Fixed Fee'!W40*9</f>
        <v>0</v>
      </c>
      <c r="O28" s="18">
        <f>'Fixed Fee'!X40*9</f>
        <v>45</v>
      </c>
      <c r="P28" s="18">
        <f>'Fixed Fee'!Y40*9</f>
        <v>45</v>
      </c>
      <c r="Q28" s="18">
        <f>'Fixed Fee'!Z40*9</f>
        <v>45</v>
      </c>
      <c r="R28" s="18">
        <f>'Fixed Fee'!AA40*9</f>
        <v>45</v>
      </c>
      <c r="S28" s="18">
        <f>'Fixed Fee'!AB40*9</f>
        <v>0</v>
      </c>
      <c r="T28" s="18">
        <f>'Fixed Fee'!AC40*9</f>
        <v>0</v>
      </c>
      <c r="U28" s="18">
        <f>'Fixed Fee'!AD40*9</f>
        <v>0</v>
      </c>
      <c r="V28" s="18">
        <f>'Fixed Fee'!AE40*9</f>
        <v>0</v>
      </c>
      <c r="W28" s="18">
        <f>'Fixed Fee'!AF40*9</f>
        <v>0</v>
      </c>
      <c r="X28" s="18">
        <f>'Fixed Fee'!AG40*9</f>
        <v>0</v>
      </c>
      <c r="Y28" s="18">
        <f>'Fixed Fee'!AH40*9</f>
        <v>0</v>
      </c>
      <c r="Z28" s="18">
        <f>'Fixed Fee'!AI40*9</f>
        <v>0</v>
      </c>
      <c r="AA28" s="18">
        <f>'Fixed Fee'!AJ40*9</f>
        <v>0</v>
      </c>
      <c r="AB28" s="18">
        <f>'Fixed Fee'!AK40*9</f>
        <v>0</v>
      </c>
      <c r="AC28" s="18">
        <f>'Fixed Fee'!AL40*9</f>
        <v>0</v>
      </c>
      <c r="AD28" s="18">
        <f>'Fixed Fee'!AM40*9</f>
        <v>0</v>
      </c>
      <c r="AE28" s="18">
        <f>'Fixed Fee'!AN40*9</f>
        <v>0</v>
      </c>
      <c r="AF28" s="18">
        <f>'Fixed Fee'!AO40*9</f>
        <v>0</v>
      </c>
      <c r="AG28" s="18">
        <f>'Fixed Fee'!AP40*9</f>
        <v>0</v>
      </c>
      <c r="AH28" s="18">
        <f>'Fixed Fee'!AQ40*9</f>
        <v>0</v>
      </c>
      <c r="AI28" s="18">
        <f>'Fixed Fee'!AR40*9</f>
        <v>0</v>
      </c>
      <c r="AJ28" s="18">
        <f>'Fixed Fee'!AS40*9</f>
        <v>0</v>
      </c>
      <c r="AK28" s="18">
        <f>'Fixed Fee'!AT40*9</f>
        <v>0</v>
      </c>
      <c r="AL28" s="18">
        <f>'Fixed Fee'!AU40*9</f>
        <v>0</v>
      </c>
      <c r="AM28" s="18">
        <f>'Fixed Fee'!AV40*9</f>
        <v>0</v>
      </c>
      <c r="AN28" s="18">
        <f>'Fixed Fee'!AW40*9</f>
        <v>0</v>
      </c>
      <c r="AO28" s="18">
        <f>'Fixed Fee'!AX40*9</f>
        <v>0</v>
      </c>
      <c r="AP28" s="18">
        <f>'Fixed Fee'!AY40*9</f>
        <v>0</v>
      </c>
      <c r="AQ28" s="18">
        <f>'Fixed Fee'!AZ40*9</f>
        <v>0</v>
      </c>
      <c r="AR28" s="18">
        <f>'Fixed Fee'!BA40*9</f>
        <v>0</v>
      </c>
      <c r="AS28" s="18">
        <f>'Fixed Fee'!BB40*9</f>
        <v>0</v>
      </c>
      <c r="AT28" s="18">
        <f>'Fixed Fee'!BC40*9</f>
        <v>0</v>
      </c>
      <c r="AU28" s="18">
        <f>'Fixed Fee'!BD40*9</f>
        <v>0</v>
      </c>
      <c r="AV28" s="18">
        <f>'Fixed Fee'!BE40*9</f>
        <v>0</v>
      </c>
      <c r="AW28" s="18">
        <f>'Fixed Fee'!BF40*9</f>
        <v>0</v>
      </c>
      <c r="AX28" s="18">
        <f>'Fixed Fee'!BG40*9</f>
        <v>0</v>
      </c>
      <c r="AY28" s="18">
        <f>'Fixed Fee'!BH40*9</f>
        <v>0</v>
      </c>
      <c r="AZ28" s="18">
        <f>'Fixed Fee'!BI40*9</f>
        <v>0</v>
      </c>
      <c r="BA28" s="18">
        <f>'Fixed Fee'!BJ40*9</f>
        <v>0</v>
      </c>
      <c r="BB28" s="18">
        <f>'Fixed Fee'!BK40*9</f>
        <v>0</v>
      </c>
      <c r="BC28" s="18">
        <f>'Fixed Fee'!BL40*9</f>
        <v>0</v>
      </c>
      <c r="BD28" s="18">
        <f>'Fixed Fee'!BM40*9</f>
        <v>0</v>
      </c>
      <c r="BE28" s="18">
        <f>'Fixed Fee'!BN40*9</f>
        <v>0</v>
      </c>
      <c r="BF28" s="18">
        <f>'Fixed Fee'!BO40*9</f>
        <v>0</v>
      </c>
      <c r="BG28" s="18">
        <f>'Fixed Fee'!BP40*9</f>
        <v>0</v>
      </c>
      <c r="BH28" s="18">
        <f>'Fixed Fee'!BQ40*9</f>
        <v>0</v>
      </c>
      <c r="BI28" s="18">
        <f>'Fixed Fee'!BR40*9</f>
        <v>0</v>
      </c>
      <c r="BJ28" s="18">
        <f>'Fixed Fee'!BS40*9</f>
        <v>0</v>
      </c>
      <c r="BK28" s="18">
        <f>'Fixed Fee'!BT40*9</f>
        <v>0</v>
      </c>
      <c r="BL28" s="18">
        <f>'Fixed Fee'!BU40*9</f>
        <v>0</v>
      </c>
      <c r="BM28" s="18">
        <f>'Fixed Fee'!BV40*9</f>
        <v>0</v>
      </c>
      <c r="BN28" s="18">
        <f>'Fixed Fee'!BW40*9</f>
        <v>0</v>
      </c>
      <c r="BO28" s="18">
        <f>'Fixed Fee'!BX40*9</f>
        <v>0</v>
      </c>
      <c r="BP28" s="18">
        <f>'Fixed Fee'!BY40*9</f>
        <v>0</v>
      </c>
      <c r="BQ28" s="18">
        <f>'Fixed Fee'!BZ40*9</f>
        <v>0</v>
      </c>
      <c r="BR28" s="18">
        <f>'Fixed Fee'!CA40*9</f>
        <v>0</v>
      </c>
      <c r="BS28" s="18">
        <f>'Fixed Fee'!CB40*9</f>
        <v>0</v>
      </c>
      <c r="BT28" s="18">
        <f>'Fixed Fee'!CC40*9</f>
        <v>0</v>
      </c>
      <c r="BU28" s="18">
        <f>'Fixed Fee'!CD40*9</f>
        <v>0</v>
      </c>
      <c r="BV28" s="18">
        <f>'Fixed Fee'!CE40*9</f>
        <v>0</v>
      </c>
      <c r="BW28" s="18">
        <f>'Fixed Fee'!CF40*9</f>
        <v>0</v>
      </c>
      <c r="BX28" s="18">
        <f>'Fixed Fee'!CG40*9</f>
        <v>0</v>
      </c>
      <c r="BY28" s="18">
        <f>'Fixed Fee'!CH40*9</f>
        <v>0</v>
      </c>
    </row>
    <row r="29" spans="1:77" s="43" customFormat="1" ht="13" x14ac:dyDescent="0.45">
      <c r="A29" s="46" t="str">
        <f>'Fixed Fee'!C41</f>
        <v>TBD-NS - Sr Developer</v>
      </c>
      <c r="B29" s="18">
        <f>'Fixed Fee'!K41*9</f>
        <v>0</v>
      </c>
      <c r="C29" s="18">
        <f>'Fixed Fee'!L41*9</f>
        <v>0</v>
      </c>
      <c r="D29" s="18">
        <f>'Fixed Fee'!M41*9</f>
        <v>0</v>
      </c>
      <c r="E29" s="18">
        <f>'Fixed Fee'!N41*9</f>
        <v>0</v>
      </c>
      <c r="F29" s="18">
        <f>'Fixed Fee'!O41*9</f>
        <v>0</v>
      </c>
      <c r="G29" s="18">
        <f>'Fixed Fee'!P41*9</f>
        <v>45</v>
      </c>
      <c r="H29" s="18">
        <f>'Fixed Fee'!Q41*9</f>
        <v>45</v>
      </c>
      <c r="I29" s="18">
        <f>'Fixed Fee'!R41*9</f>
        <v>45</v>
      </c>
      <c r="J29" s="18">
        <f>'Fixed Fee'!S41*9</f>
        <v>45</v>
      </c>
      <c r="K29" s="18">
        <f>'Fixed Fee'!T41*9</f>
        <v>45</v>
      </c>
      <c r="L29" s="18">
        <f>'Fixed Fee'!U41*9</f>
        <v>45</v>
      </c>
      <c r="M29" s="18">
        <f>'Fixed Fee'!V41*9</f>
        <v>0</v>
      </c>
      <c r="N29" s="18">
        <f>'Fixed Fee'!W41*9</f>
        <v>0</v>
      </c>
      <c r="O29" s="18">
        <f>'Fixed Fee'!X41*9</f>
        <v>45</v>
      </c>
      <c r="P29" s="18">
        <f>'Fixed Fee'!Y41*9</f>
        <v>45</v>
      </c>
      <c r="Q29" s="18">
        <f>'Fixed Fee'!Z41*9</f>
        <v>45</v>
      </c>
      <c r="R29" s="18">
        <f>'Fixed Fee'!AA41*9</f>
        <v>45</v>
      </c>
      <c r="S29" s="18">
        <f>'Fixed Fee'!AB41*9</f>
        <v>0</v>
      </c>
      <c r="T29" s="18">
        <f>'Fixed Fee'!AC41*9</f>
        <v>0</v>
      </c>
      <c r="U29" s="18">
        <f>'Fixed Fee'!AD41*9</f>
        <v>0</v>
      </c>
      <c r="V29" s="18">
        <f>'Fixed Fee'!AE41*9</f>
        <v>0</v>
      </c>
      <c r="W29" s="18">
        <f>'Fixed Fee'!AF41*9</f>
        <v>0</v>
      </c>
      <c r="X29" s="18">
        <f>'Fixed Fee'!AG41*9</f>
        <v>0</v>
      </c>
      <c r="Y29" s="18">
        <f>'Fixed Fee'!AH41*9</f>
        <v>0</v>
      </c>
      <c r="Z29" s="18">
        <f>'Fixed Fee'!AI41*9</f>
        <v>0</v>
      </c>
      <c r="AA29" s="18">
        <f>'Fixed Fee'!AJ41*9</f>
        <v>0</v>
      </c>
      <c r="AB29" s="18">
        <f>'Fixed Fee'!AK41*9</f>
        <v>0</v>
      </c>
      <c r="AC29" s="18">
        <f>'Fixed Fee'!AL41*9</f>
        <v>0</v>
      </c>
      <c r="AD29" s="18">
        <f>'Fixed Fee'!AM41*9</f>
        <v>0</v>
      </c>
      <c r="AE29" s="18">
        <f>'Fixed Fee'!AN41*9</f>
        <v>0</v>
      </c>
      <c r="AF29" s="18">
        <f>'Fixed Fee'!AO41*9</f>
        <v>0</v>
      </c>
      <c r="AG29" s="18">
        <f>'Fixed Fee'!AP41*9</f>
        <v>0</v>
      </c>
      <c r="AH29" s="18">
        <f>'Fixed Fee'!AQ41*9</f>
        <v>0</v>
      </c>
      <c r="AI29" s="18">
        <f>'Fixed Fee'!AR41*9</f>
        <v>0</v>
      </c>
      <c r="AJ29" s="18">
        <f>'Fixed Fee'!AS41*9</f>
        <v>0</v>
      </c>
      <c r="AK29" s="18">
        <f>'Fixed Fee'!AT41*9</f>
        <v>0</v>
      </c>
      <c r="AL29" s="18">
        <f>'Fixed Fee'!AU41*9</f>
        <v>0</v>
      </c>
      <c r="AM29" s="18">
        <f>'Fixed Fee'!AV41*9</f>
        <v>0</v>
      </c>
      <c r="AN29" s="18">
        <f>'Fixed Fee'!AW41*9</f>
        <v>0</v>
      </c>
      <c r="AO29" s="18">
        <f>'Fixed Fee'!AX41*9</f>
        <v>0</v>
      </c>
      <c r="AP29" s="18">
        <f>'Fixed Fee'!AY41*9</f>
        <v>0</v>
      </c>
      <c r="AQ29" s="18">
        <f>'Fixed Fee'!AZ41*9</f>
        <v>0</v>
      </c>
      <c r="AR29" s="18">
        <f>'Fixed Fee'!BA41*9</f>
        <v>0</v>
      </c>
      <c r="AS29" s="18">
        <f>'Fixed Fee'!BB41*9</f>
        <v>0</v>
      </c>
      <c r="AT29" s="18">
        <f>'Fixed Fee'!BC41*9</f>
        <v>0</v>
      </c>
      <c r="AU29" s="18">
        <f>'Fixed Fee'!BD41*9</f>
        <v>0</v>
      </c>
      <c r="AV29" s="18">
        <f>'Fixed Fee'!BE41*9</f>
        <v>0</v>
      </c>
      <c r="AW29" s="18">
        <f>'Fixed Fee'!BF41*9</f>
        <v>0</v>
      </c>
      <c r="AX29" s="18">
        <f>'Fixed Fee'!BG41*9</f>
        <v>0</v>
      </c>
      <c r="AY29" s="18">
        <f>'Fixed Fee'!BH41*9</f>
        <v>0</v>
      </c>
      <c r="AZ29" s="18">
        <f>'Fixed Fee'!BI41*9</f>
        <v>0</v>
      </c>
      <c r="BA29" s="18">
        <f>'Fixed Fee'!BJ41*9</f>
        <v>0</v>
      </c>
      <c r="BB29" s="18">
        <f>'Fixed Fee'!BK41*9</f>
        <v>0</v>
      </c>
      <c r="BC29" s="18">
        <f>'Fixed Fee'!BL41*9</f>
        <v>0</v>
      </c>
      <c r="BD29" s="18">
        <f>'Fixed Fee'!BM41*9</f>
        <v>0</v>
      </c>
      <c r="BE29" s="18">
        <f>'Fixed Fee'!BN41*9</f>
        <v>0</v>
      </c>
      <c r="BF29" s="18">
        <f>'Fixed Fee'!BO41*9</f>
        <v>0</v>
      </c>
      <c r="BG29" s="18">
        <f>'Fixed Fee'!BP41*9</f>
        <v>0</v>
      </c>
      <c r="BH29" s="18">
        <f>'Fixed Fee'!BQ41*9</f>
        <v>0</v>
      </c>
      <c r="BI29" s="18">
        <f>'Fixed Fee'!BR41*9</f>
        <v>0</v>
      </c>
      <c r="BJ29" s="18">
        <f>'Fixed Fee'!BS41*9</f>
        <v>0</v>
      </c>
      <c r="BK29" s="18">
        <f>'Fixed Fee'!BT41*9</f>
        <v>0</v>
      </c>
      <c r="BL29" s="18">
        <f>'Fixed Fee'!BU41*9</f>
        <v>0</v>
      </c>
      <c r="BM29" s="18">
        <f>'Fixed Fee'!BV41*9</f>
        <v>0</v>
      </c>
      <c r="BN29" s="18">
        <f>'Fixed Fee'!BW41*9</f>
        <v>0</v>
      </c>
      <c r="BO29" s="18">
        <f>'Fixed Fee'!BX41*9</f>
        <v>0</v>
      </c>
      <c r="BP29" s="18">
        <f>'Fixed Fee'!BY41*9</f>
        <v>0</v>
      </c>
      <c r="BQ29" s="18">
        <f>'Fixed Fee'!BZ41*9</f>
        <v>0</v>
      </c>
      <c r="BR29" s="18">
        <f>'Fixed Fee'!CA41*9</f>
        <v>0</v>
      </c>
      <c r="BS29" s="18">
        <f>'Fixed Fee'!CB41*9</f>
        <v>0</v>
      </c>
      <c r="BT29" s="18">
        <f>'Fixed Fee'!CC41*9</f>
        <v>0</v>
      </c>
      <c r="BU29" s="18">
        <f>'Fixed Fee'!CD41*9</f>
        <v>0</v>
      </c>
      <c r="BV29" s="18">
        <f>'Fixed Fee'!CE41*9</f>
        <v>0</v>
      </c>
      <c r="BW29" s="18">
        <f>'Fixed Fee'!CF41*9</f>
        <v>0</v>
      </c>
      <c r="BX29" s="18">
        <f>'Fixed Fee'!CG41*9</f>
        <v>0</v>
      </c>
      <c r="BY29" s="18">
        <f>'Fixed Fee'!CH41*9</f>
        <v>0</v>
      </c>
    </row>
    <row r="30" spans="1:77" s="43" customFormat="1" ht="13" x14ac:dyDescent="0.45">
      <c r="A30" s="46" t="str">
        <f>'Fixed Fee'!C42</f>
        <v>Valdes, Oscar</v>
      </c>
      <c r="B30" s="18">
        <f>'Fixed Fee'!K42*9</f>
        <v>45</v>
      </c>
      <c r="C30" s="18">
        <f>'Fixed Fee'!L42*9</f>
        <v>45</v>
      </c>
      <c r="D30" s="18">
        <f>'Fixed Fee'!M42*9</f>
        <v>45</v>
      </c>
      <c r="E30" s="18">
        <f>'Fixed Fee'!N42*9</f>
        <v>0</v>
      </c>
      <c r="F30" s="18">
        <f>'Fixed Fee'!O42*9</f>
        <v>0</v>
      </c>
      <c r="G30" s="18">
        <f>'Fixed Fee'!P42*9</f>
        <v>0</v>
      </c>
      <c r="H30" s="18">
        <f>'Fixed Fee'!Q42*9</f>
        <v>0</v>
      </c>
      <c r="I30" s="18">
        <f>'Fixed Fee'!R42*9</f>
        <v>0</v>
      </c>
      <c r="J30" s="18">
        <f>'Fixed Fee'!S42*9</f>
        <v>0</v>
      </c>
      <c r="K30" s="18">
        <f>'Fixed Fee'!T42*9</f>
        <v>0</v>
      </c>
      <c r="L30" s="18">
        <f>'Fixed Fee'!U42*9</f>
        <v>0</v>
      </c>
      <c r="M30" s="18">
        <f>'Fixed Fee'!V42*9</f>
        <v>0</v>
      </c>
      <c r="N30" s="18">
        <f>'Fixed Fee'!W42*9</f>
        <v>0</v>
      </c>
      <c r="O30" s="18">
        <f>'Fixed Fee'!X42*9</f>
        <v>0</v>
      </c>
      <c r="P30" s="18">
        <f>'Fixed Fee'!Y42*9</f>
        <v>0</v>
      </c>
      <c r="Q30" s="18">
        <f>'Fixed Fee'!Z42*9</f>
        <v>0</v>
      </c>
      <c r="R30" s="18">
        <f>'Fixed Fee'!AA42*9</f>
        <v>0</v>
      </c>
      <c r="S30" s="18">
        <f>'Fixed Fee'!AB42*9</f>
        <v>0</v>
      </c>
      <c r="T30" s="18">
        <f>'Fixed Fee'!AC42*9</f>
        <v>0</v>
      </c>
      <c r="U30" s="18">
        <f>'Fixed Fee'!AD42*9</f>
        <v>0</v>
      </c>
      <c r="V30" s="18">
        <f>'Fixed Fee'!AE42*9</f>
        <v>0</v>
      </c>
      <c r="W30" s="18">
        <f>'Fixed Fee'!AF42*9</f>
        <v>0</v>
      </c>
      <c r="X30" s="18">
        <f>'Fixed Fee'!AG42*9</f>
        <v>0</v>
      </c>
      <c r="Y30" s="18">
        <f>'Fixed Fee'!AH42*9</f>
        <v>0</v>
      </c>
      <c r="Z30" s="18">
        <f>'Fixed Fee'!AI42*9</f>
        <v>0</v>
      </c>
      <c r="AA30" s="18">
        <f>'Fixed Fee'!AJ42*9</f>
        <v>0</v>
      </c>
      <c r="AB30" s="18">
        <f>'Fixed Fee'!AK42*9</f>
        <v>0</v>
      </c>
      <c r="AC30" s="18">
        <f>'Fixed Fee'!AL42*9</f>
        <v>0</v>
      </c>
      <c r="AD30" s="18">
        <f>'Fixed Fee'!AM42*9</f>
        <v>0</v>
      </c>
      <c r="AE30" s="18">
        <f>'Fixed Fee'!AN42*9</f>
        <v>0</v>
      </c>
      <c r="AF30" s="18">
        <f>'Fixed Fee'!AO42*9</f>
        <v>0</v>
      </c>
      <c r="AG30" s="18">
        <f>'Fixed Fee'!AP42*9</f>
        <v>0</v>
      </c>
      <c r="AH30" s="18">
        <f>'Fixed Fee'!AQ42*9</f>
        <v>0</v>
      </c>
      <c r="AI30" s="18">
        <f>'Fixed Fee'!AR42*9</f>
        <v>0</v>
      </c>
      <c r="AJ30" s="18">
        <f>'Fixed Fee'!AS42*9</f>
        <v>0</v>
      </c>
      <c r="AK30" s="18">
        <f>'Fixed Fee'!AT42*9</f>
        <v>0</v>
      </c>
      <c r="AL30" s="18">
        <f>'Fixed Fee'!AU42*9</f>
        <v>0</v>
      </c>
      <c r="AM30" s="18">
        <f>'Fixed Fee'!AV42*9</f>
        <v>0</v>
      </c>
      <c r="AN30" s="18">
        <f>'Fixed Fee'!AW42*9</f>
        <v>0</v>
      </c>
      <c r="AO30" s="18">
        <f>'Fixed Fee'!AX42*9</f>
        <v>0</v>
      </c>
      <c r="AP30" s="18">
        <f>'Fixed Fee'!AY42*9</f>
        <v>0</v>
      </c>
      <c r="AQ30" s="18">
        <f>'Fixed Fee'!AZ42*9</f>
        <v>0</v>
      </c>
      <c r="AR30" s="18">
        <f>'Fixed Fee'!BA42*9</f>
        <v>0</v>
      </c>
      <c r="AS30" s="18">
        <f>'Fixed Fee'!BB42*9</f>
        <v>0</v>
      </c>
      <c r="AT30" s="18">
        <f>'Fixed Fee'!BC42*9</f>
        <v>0</v>
      </c>
      <c r="AU30" s="18">
        <f>'Fixed Fee'!BD42*9</f>
        <v>0</v>
      </c>
      <c r="AV30" s="18">
        <f>'Fixed Fee'!BE42*9</f>
        <v>0</v>
      </c>
      <c r="AW30" s="18">
        <f>'Fixed Fee'!BF42*9</f>
        <v>0</v>
      </c>
      <c r="AX30" s="18">
        <f>'Fixed Fee'!BG42*9</f>
        <v>0</v>
      </c>
      <c r="AY30" s="18">
        <f>'Fixed Fee'!BH42*9</f>
        <v>0</v>
      </c>
      <c r="AZ30" s="18">
        <f>'Fixed Fee'!BI42*9</f>
        <v>0</v>
      </c>
      <c r="BA30" s="18">
        <f>'Fixed Fee'!BJ42*9</f>
        <v>0</v>
      </c>
      <c r="BB30" s="18">
        <f>'Fixed Fee'!BK42*9</f>
        <v>0</v>
      </c>
      <c r="BC30" s="18">
        <f>'Fixed Fee'!BL42*9</f>
        <v>0</v>
      </c>
      <c r="BD30" s="18">
        <f>'Fixed Fee'!BM42*9</f>
        <v>0</v>
      </c>
      <c r="BE30" s="18">
        <f>'Fixed Fee'!BN42*9</f>
        <v>0</v>
      </c>
      <c r="BF30" s="18">
        <f>'Fixed Fee'!BO42*9</f>
        <v>0</v>
      </c>
      <c r="BG30" s="18">
        <f>'Fixed Fee'!BP42*9</f>
        <v>0</v>
      </c>
      <c r="BH30" s="18">
        <f>'Fixed Fee'!BQ42*9</f>
        <v>0</v>
      </c>
      <c r="BI30" s="18">
        <f>'Fixed Fee'!BR42*9</f>
        <v>0</v>
      </c>
      <c r="BJ30" s="18">
        <f>'Fixed Fee'!BS42*9</f>
        <v>0</v>
      </c>
      <c r="BK30" s="18">
        <f>'Fixed Fee'!BT42*9</f>
        <v>0</v>
      </c>
      <c r="BL30" s="18">
        <f>'Fixed Fee'!BU42*9</f>
        <v>0</v>
      </c>
      <c r="BM30" s="18">
        <f>'Fixed Fee'!BV42*9</f>
        <v>0</v>
      </c>
      <c r="BN30" s="18">
        <f>'Fixed Fee'!BW42*9</f>
        <v>0</v>
      </c>
      <c r="BO30" s="18">
        <f>'Fixed Fee'!BX42*9</f>
        <v>0</v>
      </c>
      <c r="BP30" s="18">
        <f>'Fixed Fee'!BY42*9</f>
        <v>0</v>
      </c>
      <c r="BQ30" s="18">
        <f>'Fixed Fee'!BZ42*9</f>
        <v>0</v>
      </c>
      <c r="BR30" s="18">
        <f>'Fixed Fee'!CA42*9</f>
        <v>0</v>
      </c>
      <c r="BS30" s="18">
        <f>'Fixed Fee'!CB42*9</f>
        <v>0</v>
      </c>
      <c r="BT30" s="18">
        <f>'Fixed Fee'!CC42*9</f>
        <v>0</v>
      </c>
      <c r="BU30" s="18">
        <f>'Fixed Fee'!CD42*9</f>
        <v>0</v>
      </c>
      <c r="BV30" s="18">
        <f>'Fixed Fee'!CE42*9</f>
        <v>0</v>
      </c>
      <c r="BW30" s="18">
        <f>'Fixed Fee'!CF42*9</f>
        <v>0</v>
      </c>
      <c r="BX30" s="18">
        <f>'Fixed Fee'!CG42*9</f>
        <v>0</v>
      </c>
      <c r="BY30" s="18">
        <f>'Fixed Fee'!CH42*9</f>
        <v>0</v>
      </c>
    </row>
    <row r="31" spans="1:77" s="43" customFormat="1" ht="13" x14ac:dyDescent="0.45">
      <c r="A31" s="46" t="str">
        <f>'Fixed Fee'!C43</f>
        <v>Aranda, Monica</v>
      </c>
      <c r="B31" s="18">
        <f>'Fixed Fee'!K43*9</f>
        <v>45</v>
      </c>
      <c r="C31" s="18">
        <f>'Fixed Fee'!L43*9</f>
        <v>45</v>
      </c>
      <c r="D31" s="18">
        <f>'Fixed Fee'!M43*9</f>
        <v>45</v>
      </c>
      <c r="E31" s="18">
        <f>'Fixed Fee'!N43*9</f>
        <v>45</v>
      </c>
      <c r="F31" s="18">
        <f>'Fixed Fee'!O43*9</f>
        <v>0</v>
      </c>
      <c r="G31" s="18">
        <f>'Fixed Fee'!P43*9</f>
        <v>0</v>
      </c>
      <c r="H31" s="18">
        <f>'Fixed Fee'!Q43*9</f>
        <v>0</v>
      </c>
      <c r="I31" s="18">
        <f>'Fixed Fee'!R43*9</f>
        <v>0</v>
      </c>
      <c r="J31" s="18">
        <f>'Fixed Fee'!S43*9</f>
        <v>18</v>
      </c>
      <c r="K31" s="18">
        <f>'Fixed Fee'!T43*9</f>
        <v>0</v>
      </c>
      <c r="L31" s="18">
        <f>'Fixed Fee'!U43*9</f>
        <v>0</v>
      </c>
      <c r="M31" s="18">
        <f>'Fixed Fee'!V43*9</f>
        <v>0</v>
      </c>
      <c r="N31" s="18">
        <f>'Fixed Fee'!W43*9</f>
        <v>0</v>
      </c>
      <c r="O31" s="18">
        <f>'Fixed Fee'!X43*9</f>
        <v>18</v>
      </c>
      <c r="P31" s="18">
        <f>'Fixed Fee'!Y43*9</f>
        <v>0</v>
      </c>
      <c r="Q31" s="18">
        <f>'Fixed Fee'!Z43*9</f>
        <v>0</v>
      </c>
      <c r="R31" s="18">
        <f>'Fixed Fee'!AA43*9</f>
        <v>18</v>
      </c>
      <c r="S31" s="18">
        <f>'Fixed Fee'!AB43*9</f>
        <v>0</v>
      </c>
      <c r="T31" s="18">
        <f>'Fixed Fee'!AC43*9</f>
        <v>0</v>
      </c>
      <c r="U31" s="18">
        <f>'Fixed Fee'!AD43*9</f>
        <v>0</v>
      </c>
      <c r="V31" s="18">
        <f>'Fixed Fee'!AE43*9</f>
        <v>0</v>
      </c>
      <c r="W31" s="18">
        <f>'Fixed Fee'!AF43*9</f>
        <v>0</v>
      </c>
      <c r="X31" s="18">
        <f>'Fixed Fee'!AG43*9</f>
        <v>0</v>
      </c>
      <c r="Y31" s="18">
        <f>'Fixed Fee'!AH43*9</f>
        <v>0</v>
      </c>
      <c r="Z31" s="18">
        <f>'Fixed Fee'!AI43*9</f>
        <v>0</v>
      </c>
      <c r="AA31" s="18">
        <f>'Fixed Fee'!AJ43*9</f>
        <v>0</v>
      </c>
      <c r="AB31" s="18">
        <f>'Fixed Fee'!AK43*9</f>
        <v>0</v>
      </c>
      <c r="AC31" s="18">
        <f>'Fixed Fee'!AL43*9</f>
        <v>0</v>
      </c>
      <c r="AD31" s="18">
        <f>'Fixed Fee'!AM43*9</f>
        <v>0</v>
      </c>
      <c r="AE31" s="18">
        <f>'Fixed Fee'!AN43*9</f>
        <v>0</v>
      </c>
      <c r="AF31" s="18">
        <f>'Fixed Fee'!AO43*9</f>
        <v>0</v>
      </c>
      <c r="AG31" s="18">
        <f>'Fixed Fee'!AP43*9</f>
        <v>0</v>
      </c>
      <c r="AH31" s="18">
        <f>'Fixed Fee'!AQ43*9</f>
        <v>0</v>
      </c>
      <c r="AI31" s="18">
        <f>'Fixed Fee'!AR43*9</f>
        <v>0</v>
      </c>
      <c r="AJ31" s="18">
        <f>'Fixed Fee'!AS43*9</f>
        <v>0</v>
      </c>
      <c r="AK31" s="18">
        <f>'Fixed Fee'!AT43*9</f>
        <v>0</v>
      </c>
      <c r="AL31" s="18">
        <f>'Fixed Fee'!AU43*9</f>
        <v>0</v>
      </c>
      <c r="AM31" s="18">
        <f>'Fixed Fee'!AV43*9</f>
        <v>0</v>
      </c>
      <c r="AN31" s="18">
        <f>'Fixed Fee'!AW43*9</f>
        <v>0</v>
      </c>
      <c r="AO31" s="18">
        <f>'Fixed Fee'!AX43*9</f>
        <v>0</v>
      </c>
      <c r="AP31" s="18">
        <f>'Fixed Fee'!AY43*9</f>
        <v>0</v>
      </c>
      <c r="AQ31" s="18">
        <f>'Fixed Fee'!AZ43*9</f>
        <v>0</v>
      </c>
      <c r="AR31" s="18">
        <f>'Fixed Fee'!BA43*9</f>
        <v>0</v>
      </c>
      <c r="AS31" s="18">
        <f>'Fixed Fee'!BB43*9</f>
        <v>0</v>
      </c>
      <c r="AT31" s="18">
        <f>'Fixed Fee'!BC43*9</f>
        <v>0</v>
      </c>
      <c r="AU31" s="18">
        <f>'Fixed Fee'!BD43*9</f>
        <v>0</v>
      </c>
      <c r="AV31" s="18">
        <f>'Fixed Fee'!BE43*9</f>
        <v>0</v>
      </c>
      <c r="AW31" s="18">
        <f>'Fixed Fee'!BF43*9</f>
        <v>0</v>
      </c>
      <c r="AX31" s="18">
        <f>'Fixed Fee'!BG43*9</f>
        <v>0</v>
      </c>
      <c r="AY31" s="18">
        <f>'Fixed Fee'!BH43*9</f>
        <v>0</v>
      </c>
      <c r="AZ31" s="18">
        <f>'Fixed Fee'!BI43*9</f>
        <v>0</v>
      </c>
      <c r="BA31" s="18">
        <f>'Fixed Fee'!BJ43*9</f>
        <v>0</v>
      </c>
      <c r="BB31" s="18">
        <f>'Fixed Fee'!BK43*9</f>
        <v>0</v>
      </c>
      <c r="BC31" s="18">
        <f>'Fixed Fee'!BL43*9</f>
        <v>0</v>
      </c>
      <c r="BD31" s="18">
        <f>'Fixed Fee'!BM43*9</f>
        <v>0</v>
      </c>
      <c r="BE31" s="18">
        <f>'Fixed Fee'!BN43*9</f>
        <v>0</v>
      </c>
      <c r="BF31" s="18">
        <f>'Fixed Fee'!BO43*9</f>
        <v>0</v>
      </c>
      <c r="BG31" s="18">
        <f>'Fixed Fee'!BP43*9</f>
        <v>0</v>
      </c>
      <c r="BH31" s="18">
        <f>'Fixed Fee'!BQ43*9</f>
        <v>0</v>
      </c>
      <c r="BI31" s="18">
        <f>'Fixed Fee'!BR43*9</f>
        <v>0</v>
      </c>
      <c r="BJ31" s="18">
        <f>'Fixed Fee'!BS43*9</f>
        <v>0</v>
      </c>
      <c r="BK31" s="18">
        <f>'Fixed Fee'!BT43*9</f>
        <v>0</v>
      </c>
      <c r="BL31" s="18">
        <f>'Fixed Fee'!BU43*9</f>
        <v>0</v>
      </c>
      <c r="BM31" s="18">
        <f>'Fixed Fee'!BV43*9</f>
        <v>0</v>
      </c>
      <c r="BN31" s="18">
        <f>'Fixed Fee'!BW43*9</f>
        <v>0</v>
      </c>
      <c r="BO31" s="18">
        <f>'Fixed Fee'!BX43*9</f>
        <v>0</v>
      </c>
      <c r="BP31" s="18">
        <f>'Fixed Fee'!BY43*9</f>
        <v>0</v>
      </c>
      <c r="BQ31" s="18">
        <f>'Fixed Fee'!BZ43*9</f>
        <v>0</v>
      </c>
      <c r="BR31" s="18">
        <f>'Fixed Fee'!CA43*9</f>
        <v>0</v>
      </c>
      <c r="BS31" s="18">
        <f>'Fixed Fee'!CB43*9</f>
        <v>0</v>
      </c>
      <c r="BT31" s="18">
        <f>'Fixed Fee'!CC43*9</f>
        <v>0</v>
      </c>
      <c r="BU31" s="18">
        <f>'Fixed Fee'!CD43*9</f>
        <v>0</v>
      </c>
      <c r="BV31" s="18">
        <f>'Fixed Fee'!CE43*9</f>
        <v>0</v>
      </c>
      <c r="BW31" s="18">
        <f>'Fixed Fee'!CF43*9</f>
        <v>0</v>
      </c>
      <c r="BX31" s="18">
        <f>'Fixed Fee'!CG43*9</f>
        <v>0</v>
      </c>
      <c r="BY31" s="18">
        <f>'Fixed Fee'!CH43*9</f>
        <v>0</v>
      </c>
    </row>
    <row r="32" spans="1:77" s="43" customFormat="1" ht="13" x14ac:dyDescent="0.45">
      <c r="A32" s="46" t="str">
        <f>'Fixed Fee'!C44</f>
        <v>Alonso, Hugo</v>
      </c>
      <c r="B32" s="18">
        <f>'Fixed Fee'!K44*9</f>
        <v>45</v>
      </c>
      <c r="C32" s="18">
        <f>'Fixed Fee'!L44*9</f>
        <v>45</v>
      </c>
      <c r="D32" s="18">
        <f>'Fixed Fee'!M44*9</f>
        <v>45</v>
      </c>
      <c r="E32" s="18">
        <f>'Fixed Fee'!N44*9</f>
        <v>45</v>
      </c>
      <c r="F32" s="18">
        <f>'Fixed Fee'!O44*9</f>
        <v>45</v>
      </c>
      <c r="G32" s="18">
        <f>'Fixed Fee'!P44*9</f>
        <v>45</v>
      </c>
      <c r="H32" s="18">
        <f>'Fixed Fee'!Q44*9</f>
        <v>45</v>
      </c>
      <c r="I32" s="18">
        <f>'Fixed Fee'!R44*9</f>
        <v>45</v>
      </c>
      <c r="J32" s="18">
        <f>'Fixed Fee'!S44*9</f>
        <v>45</v>
      </c>
      <c r="K32" s="18">
        <f>'Fixed Fee'!T44*9</f>
        <v>45</v>
      </c>
      <c r="L32" s="18">
        <f>'Fixed Fee'!U44*9</f>
        <v>45</v>
      </c>
      <c r="M32" s="18">
        <f>'Fixed Fee'!V44*9</f>
        <v>0</v>
      </c>
      <c r="N32" s="18">
        <f>'Fixed Fee'!W44*9</f>
        <v>0</v>
      </c>
      <c r="O32" s="18">
        <f>'Fixed Fee'!X44*9</f>
        <v>45</v>
      </c>
      <c r="P32" s="18">
        <f>'Fixed Fee'!Y44*9</f>
        <v>45</v>
      </c>
      <c r="Q32" s="18">
        <f>'Fixed Fee'!Z44*9</f>
        <v>45</v>
      </c>
      <c r="R32" s="18">
        <f>'Fixed Fee'!AA44*9</f>
        <v>45</v>
      </c>
      <c r="S32" s="18">
        <f>'Fixed Fee'!AB44*9</f>
        <v>0</v>
      </c>
      <c r="T32" s="18">
        <f>'Fixed Fee'!AC44*9</f>
        <v>0</v>
      </c>
      <c r="U32" s="18">
        <f>'Fixed Fee'!AD44*9</f>
        <v>0</v>
      </c>
      <c r="V32" s="18">
        <f>'Fixed Fee'!AE44*9</f>
        <v>0</v>
      </c>
      <c r="W32" s="18">
        <f>'Fixed Fee'!AF44*9</f>
        <v>0</v>
      </c>
      <c r="X32" s="18">
        <f>'Fixed Fee'!AG44*9</f>
        <v>0</v>
      </c>
      <c r="Y32" s="18">
        <f>'Fixed Fee'!AH44*9</f>
        <v>0</v>
      </c>
      <c r="Z32" s="18">
        <f>'Fixed Fee'!AI44*9</f>
        <v>0</v>
      </c>
      <c r="AA32" s="18">
        <f>'Fixed Fee'!AJ44*9</f>
        <v>0</v>
      </c>
      <c r="AB32" s="18">
        <f>'Fixed Fee'!AK44*9</f>
        <v>0</v>
      </c>
      <c r="AC32" s="18">
        <f>'Fixed Fee'!AL44*9</f>
        <v>0</v>
      </c>
      <c r="AD32" s="18">
        <f>'Fixed Fee'!AM44*9</f>
        <v>0</v>
      </c>
      <c r="AE32" s="18">
        <f>'Fixed Fee'!AN44*9</f>
        <v>0</v>
      </c>
      <c r="AF32" s="18">
        <f>'Fixed Fee'!AO44*9</f>
        <v>0</v>
      </c>
      <c r="AG32" s="18">
        <f>'Fixed Fee'!AP44*9</f>
        <v>0</v>
      </c>
      <c r="AH32" s="18">
        <f>'Fixed Fee'!AQ44*9</f>
        <v>0</v>
      </c>
      <c r="AI32" s="18">
        <f>'Fixed Fee'!AR44*9</f>
        <v>0</v>
      </c>
      <c r="AJ32" s="18">
        <f>'Fixed Fee'!AS44*9</f>
        <v>0</v>
      </c>
      <c r="AK32" s="18">
        <f>'Fixed Fee'!AT44*9</f>
        <v>0</v>
      </c>
      <c r="AL32" s="18">
        <f>'Fixed Fee'!AU44*9</f>
        <v>0</v>
      </c>
      <c r="AM32" s="18">
        <f>'Fixed Fee'!AV44*9</f>
        <v>0</v>
      </c>
      <c r="AN32" s="18">
        <f>'Fixed Fee'!AW44*9</f>
        <v>0</v>
      </c>
      <c r="AO32" s="18">
        <f>'Fixed Fee'!AX44*9</f>
        <v>0</v>
      </c>
      <c r="AP32" s="18">
        <f>'Fixed Fee'!AY44*9</f>
        <v>0</v>
      </c>
      <c r="AQ32" s="18">
        <f>'Fixed Fee'!AZ44*9</f>
        <v>0</v>
      </c>
      <c r="AR32" s="18">
        <f>'Fixed Fee'!BA44*9</f>
        <v>0</v>
      </c>
      <c r="AS32" s="18">
        <f>'Fixed Fee'!BB44*9</f>
        <v>0</v>
      </c>
      <c r="AT32" s="18">
        <f>'Fixed Fee'!BC44*9</f>
        <v>0</v>
      </c>
      <c r="AU32" s="18">
        <f>'Fixed Fee'!BD44*9</f>
        <v>0</v>
      </c>
      <c r="AV32" s="18">
        <f>'Fixed Fee'!BE44*9</f>
        <v>0</v>
      </c>
      <c r="AW32" s="18">
        <f>'Fixed Fee'!BF44*9</f>
        <v>0</v>
      </c>
      <c r="AX32" s="18">
        <f>'Fixed Fee'!BG44*9</f>
        <v>0</v>
      </c>
      <c r="AY32" s="18">
        <f>'Fixed Fee'!BH44*9</f>
        <v>0</v>
      </c>
      <c r="AZ32" s="18">
        <f>'Fixed Fee'!BI44*9</f>
        <v>0</v>
      </c>
      <c r="BA32" s="18">
        <f>'Fixed Fee'!BJ44*9</f>
        <v>0</v>
      </c>
      <c r="BB32" s="18">
        <f>'Fixed Fee'!BK44*9</f>
        <v>0</v>
      </c>
      <c r="BC32" s="18">
        <f>'Fixed Fee'!BL44*9</f>
        <v>0</v>
      </c>
      <c r="BD32" s="18">
        <f>'Fixed Fee'!BM44*9</f>
        <v>0</v>
      </c>
      <c r="BE32" s="18">
        <f>'Fixed Fee'!BN44*9</f>
        <v>0</v>
      </c>
      <c r="BF32" s="18">
        <f>'Fixed Fee'!BO44*9</f>
        <v>0</v>
      </c>
      <c r="BG32" s="18">
        <f>'Fixed Fee'!BP44*9</f>
        <v>0</v>
      </c>
      <c r="BH32" s="18">
        <f>'Fixed Fee'!BQ44*9</f>
        <v>0</v>
      </c>
      <c r="BI32" s="18">
        <f>'Fixed Fee'!BR44*9</f>
        <v>0</v>
      </c>
      <c r="BJ32" s="18">
        <f>'Fixed Fee'!BS44*9</f>
        <v>0</v>
      </c>
      <c r="BK32" s="18">
        <f>'Fixed Fee'!BT44*9</f>
        <v>0</v>
      </c>
      <c r="BL32" s="18">
        <f>'Fixed Fee'!BU44*9</f>
        <v>0</v>
      </c>
      <c r="BM32" s="18">
        <f>'Fixed Fee'!BV44*9</f>
        <v>0</v>
      </c>
      <c r="BN32" s="18">
        <f>'Fixed Fee'!BW44*9</f>
        <v>0</v>
      </c>
      <c r="BO32" s="18">
        <f>'Fixed Fee'!BX44*9</f>
        <v>0</v>
      </c>
      <c r="BP32" s="18">
        <f>'Fixed Fee'!BY44*9</f>
        <v>0</v>
      </c>
      <c r="BQ32" s="18">
        <f>'Fixed Fee'!BZ44*9</f>
        <v>0</v>
      </c>
      <c r="BR32" s="18">
        <f>'Fixed Fee'!CA44*9</f>
        <v>0</v>
      </c>
      <c r="BS32" s="18">
        <f>'Fixed Fee'!CB44*9</f>
        <v>0</v>
      </c>
      <c r="BT32" s="18">
        <f>'Fixed Fee'!CC44*9</f>
        <v>0</v>
      </c>
      <c r="BU32" s="18">
        <f>'Fixed Fee'!CD44*9</f>
        <v>0</v>
      </c>
      <c r="BV32" s="18">
        <f>'Fixed Fee'!CE44*9</f>
        <v>0</v>
      </c>
      <c r="BW32" s="18">
        <f>'Fixed Fee'!CF44*9</f>
        <v>0</v>
      </c>
      <c r="BX32" s="18">
        <f>'Fixed Fee'!CG44*9</f>
        <v>0</v>
      </c>
      <c r="BY32" s="18">
        <f>'Fixed Fee'!CH44*9</f>
        <v>0</v>
      </c>
    </row>
    <row r="33" spans="1:77" s="43" customFormat="1" ht="13" x14ac:dyDescent="0.45">
      <c r="A33" s="46" t="str">
        <f>'Fixed Fee'!C45</f>
        <v>Test</v>
      </c>
      <c r="B33" s="18">
        <f>'Fixed Fee'!K45*9</f>
        <v>0</v>
      </c>
      <c r="C33" s="18">
        <f>'Fixed Fee'!L45*9</f>
        <v>0</v>
      </c>
      <c r="D33" s="18">
        <f>'Fixed Fee'!M45*9</f>
        <v>0</v>
      </c>
      <c r="E33" s="18">
        <f>'Fixed Fee'!N45*9</f>
        <v>0</v>
      </c>
      <c r="F33" s="18">
        <f>'Fixed Fee'!O45*9</f>
        <v>0</v>
      </c>
      <c r="G33" s="18">
        <f>'Fixed Fee'!P45*9</f>
        <v>0</v>
      </c>
      <c r="H33" s="18">
        <f>'Fixed Fee'!Q45*9</f>
        <v>0</v>
      </c>
      <c r="I33" s="18">
        <f>'Fixed Fee'!R45*9</f>
        <v>0</v>
      </c>
      <c r="J33" s="18">
        <f>'Fixed Fee'!S45*9</f>
        <v>0</v>
      </c>
      <c r="K33" s="18">
        <f>'Fixed Fee'!T45*9</f>
        <v>0</v>
      </c>
      <c r="L33" s="18">
        <f>'Fixed Fee'!U45*9</f>
        <v>0</v>
      </c>
      <c r="M33" s="18">
        <f>'Fixed Fee'!V45*9</f>
        <v>0</v>
      </c>
      <c r="N33" s="18">
        <f>'Fixed Fee'!W45*9</f>
        <v>0</v>
      </c>
      <c r="O33" s="18">
        <f>'Fixed Fee'!X45*9</f>
        <v>0</v>
      </c>
      <c r="P33" s="18">
        <f>'Fixed Fee'!Y45*9</f>
        <v>0</v>
      </c>
      <c r="Q33" s="18">
        <f>'Fixed Fee'!Z45*9</f>
        <v>0</v>
      </c>
      <c r="R33" s="18">
        <f>'Fixed Fee'!AA45*9</f>
        <v>0</v>
      </c>
      <c r="S33" s="18">
        <f>'Fixed Fee'!AB45*9</f>
        <v>0</v>
      </c>
      <c r="T33" s="18">
        <f>'Fixed Fee'!AC45*9</f>
        <v>0</v>
      </c>
      <c r="U33" s="18">
        <f>'Fixed Fee'!AD45*9</f>
        <v>0</v>
      </c>
      <c r="V33" s="18">
        <f>'Fixed Fee'!AE45*9</f>
        <v>0</v>
      </c>
      <c r="W33" s="18">
        <f>'Fixed Fee'!AF45*9</f>
        <v>0</v>
      </c>
      <c r="X33" s="18">
        <f>'Fixed Fee'!AG45*9</f>
        <v>0</v>
      </c>
      <c r="Y33" s="18">
        <f>'Fixed Fee'!AH45*9</f>
        <v>0</v>
      </c>
      <c r="Z33" s="18">
        <f>'Fixed Fee'!AI45*9</f>
        <v>0</v>
      </c>
      <c r="AA33" s="18">
        <f>'Fixed Fee'!AJ45*9</f>
        <v>0</v>
      </c>
      <c r="AB33" s="18">
        <f>'Fixed Fee'!AK45*9</f>
        <v>0</v>
      </c>
      <c r="AC33" s="18">
        <f>'Fixed Fee'!AL45*9</f>
        <v>0</v>
      </c>
      <c r="AD33" s="18">
        <f>'Fixed Fee'!AM45*9</f>
        <v>0</v>
      </c>
      <c r="AE33" s="18">
        <f>'Fixed Fee'!AN45*9</f>
        <v>0</v>
      </c>
      <c r="AF33" s="18">
        <f>'Fixed Fee'!AO45*9</f>
        <v>0</v>
      </c>
      <c r="AG33" s="18">
        <f>'Fixed Fee'!AP45*9</f>
        <v>0</v>
      </c>
      <c r="AH33" s="18">
        <f>'Fixed Fee'!AQ45*9</f>
        <v>0</v>
      </c>
      <c r="AI33" s="18">
        <f>'Fixed Fee'!AR45*9</f>
        <v>0</v>
      </c>
      <c r="AJ33" s="18">
        <f>'Fixed Fee'!AS45*9</f>
        <v>0</v>
      </c>
      <c r="AK33" s="18">
        <f>'Fixed Fee'!AT45*9</f>
        <v>0</v>
      </c>
      <c r="AL33" s="18">
        <f>'Fixed Fee'!AU45*9</f>
        <v>0</v>
      </c>
      <c r="AM33" s="18">
        <f>'Fixed Fee'!AV45*9</f>
        <v>0</v>
      </c>
      <c r="AN33" s="18">
        <f>'Fixed Fee'!AW45*9</f>
        <v>0</v>
      </c>
      <c r="AO33" s="18">
        <f>'Fixed Fee'!AX45*9</f>
        <v>0</v>
      </c>
      <c r="AP33" s="18">
        <f>'Fixed Fee'!AY45*9</f>
        <v>0</v>
      </c>
      <c r="AQ33" s="18">
        <f>'Fixed Fee'!AZ45*9</f>
        <v>0</v>
      </c>
      <c r="AR33" s="18">
        <f>'Fixed Fee'!BA45*9</f>
        <v>0</v>
      </c>
      <c r="AS33" s="18">
        <f>'Fixed Fee'!BB45*9</f>
        <v>0</v>
      </c>
      <c r="AT33" s="18">
        <f>'Fixed Fee'!BC45*9</f>
        <v>0</v>
      </c>
      <c r="AU33" s="18">
        <f>'Fixed Fee'!BD45*9</f>
        <v>0</v>
      </c>
      <c r="AV33" s="18">
        <f>'Fixed Fee'!BE45*9</f>
        <v>0</v>
      </c>
      <c r="AW33" s="18">
        <f>'Fixed Fee'!BF45*9</f>
        <v>0</v>
      </c>
      <c r="AX33" s="18">
        <f>'Fixed Fee'!BG45*9</f>
        <v>0</v>
      </c>
      <c r="AY33" s="18">
        <f>'Fixed Fee'!BH45*9</f>
        <v>0</v>
      </c>
      <c r="AZ33" s="18">
        <f>'Fixed Fee'!BI45*9</f>
        <v>0</v>
      </c>
      <c r="BA33" s="18">
        <f>'Fixed Fee'!BJ45*9</f>
        <v>0</v>
      </c>
      <c r="BB33" s="18">
        <f>'Fixed Fee'!BK45*9</f>
        <v>0</v>
      </c>
      <c r="BC33" s="18">
        <f>'Fixed Fee'!BL45*9</f>
        <v>0</v>
      </c>
      <c r="BD33" s="18">
        <f>'Fixed Fee'!BM45*9</f>
        <v>0</v>
      </c>
      <c r="BE33" s="18">
        <f>'Fixed Fee'!BN45*9</f>
        <v>0</v>
      </c>
      <c r="BF33" s="18">
        <f>'Fixed Fee'!BO45*9</f>
        <v>0</v>
      </c>
      <c r="BG33" s="18">
        <f>'Fixed Fee'!BP45*9</f>
        <v>0</v>
      </c>
      <c r="BH33" s="18">
        <f>'Fixed Fee'!BQ45*9</f>
        <v>0</v>
      </c>
      <c r="BI33" s="18">
        <f>'Fixed Fee'!BR45*9</f>
        <v>0</v>
      </c>
      <c r="BJ33" s="18">
        <f>'Fixed Fee'!BS45*9</f>
        <v>0</v>
      </c>
      <c r="BK33" s="18">
        <f>'Fixed Fee'!BT45*9</f>
        <v>0</v>
      </c>
      <c r="BL33" s="18">
        <f>'Fixed Fee'!BU45*9</f>
        <v>0</v>
      </c>
      <c r="BM33" s="18">
        <f>'Fixed Fee'!BV45*9</f>
        <v>0</v>
      </c>
      <c r="BN33" s="18">
        <f>'Fixed Fee'!BW45*9</f>
        <v>0</v>
      </c>
      <c r="BO33" s="18">
        <f>'Fixed Fee'!BX45*9</f>
        <v>0</v>
      </c>
      <c r="BP33" s="18">
        <f>'Fixed Fee'!BY45*9</f>
        <v>0</v>
      </c>
      <c r="BQ33" s="18">
        <f>'Fixed Fee'!BZ45*9</f>
        <v>0</v>
      </c>
      <c r="BR33" s="18">
        <f>'Fixed Fee'!CA45*9</f>
        <v>0</v>
      </c>
      <c r="BS33" s="18">
        <f>'Fixed Fee'!CB45*9</f>
        <v>0</v>
      </c>
      <c r="BT33" s="18">
        <f>'Fixed Fee'!CC45*9</f>
        <v>0</v>
      </c>
      <c r="BU33" s="18">
        <f>'Fixed Fee'!CD45*9</f>
        <v>0</v>
      </c>
      <c r="BV33" s="18">
        <f>'Fixed Fee'!CE45*9</f>
        <v>0</v>
      </c>
      <c r="BW33" s="18">
        <f>'Fixed Fee'!CF45*9</f>
        <v>0</v>
      </c>
      <c r="BX33" s="18">
        <f>'Fixed Fee'!CG45*9</f>
        <v>0</v>
      </c>
      <c r="BY33" s="18">
        <f>'Fixed Fee'!CH45*9</f>
        <v>0</v>
      </c>
    </row>
    <row r="34" spans="1:77" s="43" customFormat="1" ht="13" x14ac:dyDescent="0.45">
      <c r="A34" s="46">
        <f>'Fixed Fee'!C46</f>
        <v>0</v>
      </c>
      <c r="B34" s="18">
        <f>'Fixed Fee'!K46*9</f>
        <v>0</v>
      </c>
      <c r="C34" s="18">
        <f>'Fixed Fee'!L46*9</f>
        <v>0</v>
      </c>
      <c r="D34" s="18">
        <f>'Fixed Fee'!M46*9</f>
        <v>0</v>
      </c>
      <c r="E34" s="18">
        <f>'Fixed Fee'!N46*9</f>
        <v>0</v>
      </c>
      <c r="F34" s="18">
        <f>'Fixed Fee'!O46*9</f>
        <v>0</v>
      </c>
      <c r="G34" s="18">
        <f>'Fixed Fee'!P46*9</f>
        <v>0</v>
      </c>
      <c r="H34" s="18">
        <f>'Fixed Fee'!Q46*9</f>
        <v>0</v>
      </c>
      <c r="I34" s="18">
        <f>'Fixed Fee'!R46*9</f>
        <v>0</v>
      </c>
      <c r="J34" s="18">
        <f>'Fixed Fee'!S46*9</f>
        <v>0</v>
      </c>
      <c r="K34" s="18">
        <f>'Fixed Fee'!T46*9</f>
        <v>0</v>
      </c>
      <c r="L34" s="18">
        <f>'Fixed Fee'!U46*9</f>
        <v>0</v>
      </c>
      <c r="M34" s="18">
        <f>'Fixed Fee'!V46*9</f>
        <v>0</v>
      </c>
      <c r="N34" s="18">
        <f>'Fixed Fee'!W46*9</f>
        <v>0</v>
      </c>
      <c r="O34" s="18">
        <f>'Fixed Fee'!X46*9</f>
        <v>0</v>
      </c>
      <c r="P34" s="18">
        <f>'Fixed Fee'!Y46*9</f>
        <v>0</v>
      </c>
      <c r="Q34" s="18">
        <f>'Fixed Fee'!Z46*9</f>
        <v>0</v>
      </c>
      <c r="R34" s="18">
        <f>'Fixed Fee'!AA46*9</f>
        <v>0</v>
      </c>
      <c r="S34" s="18">
        <f>'Fixed Fee'!AB46*9</f>
        <v>0</v>
      </c>
      <c r="T34" s="18">
        <f>'Fixed Fee'!AC46*9</f>
        <v>0</v>
      </c>
      <c r="U34" s="18">
        <f>'Fixed Fee'!AD46*9</f>
        <v>0</v>
      </c>
      <c r="V34" s="18">
        <f>'Fixed Fee'!AE46*9</f>
        <v>0</v>
      </c>
      <c r="W34" s="18">
        <f>'Fixed Fee'!AF46*9</f>
        <v>0</v>
      </c>
      <c r="X34" s="18">
        <f>'Fixed Fee'!AG46*9</f>
        <v>0</v>
      </c>
      <c r="Y34" s="18">
        <f>'Fixed Fee'!AH46*9</f>
        <v>0</v>
      </c>
      <c r="Z34" s="18">
        <f>'Fixed Fee'!AI46*9</f>
        <v>0</v>
      </c>
      <c r="AA34" s="18">
        <f>'Fixed Fee'!AJ46*9</f>
        <v>0</v>
      </c>
      <c r="AB34" s="18">
        <f>'Fixed Fee'!AK46*9</f>
        <v>0</v>
      </c>
      <c r="AC34" s="18">
        <f>'Fixed Fee'!AL46*9</f>
        <v>0</v>
      </c>
      <c r="AD34" s="18">
        <f>'Fixed Fee'!AM46*9</f>
        <v>0</v>
      </c>
      <c r="AE34" s="18">
        <f>'Fixed Fee'!AN46*9</f>
        <v>0</v>
      </c>
      <c r="AF34" s="18">
        <f>'Fixed Fee'!AO46*9</f>
        <v>0</v>
      </c>
      <c r="AG34" s="18">
        <f>'Fixed Fee'!AP46*9</f>
        <v>0</v>
      </c>
      <c r="AH34" s="18">
        <f>'Fixed Fee'!AQ46*9</f>
        <v>0</v>
      </c>
      <c r="AI34" s="18">
        <f>'Fixed Fee'!AR46*9</f>
        <v>0</v>
      </c>
      <c r="AJ34" s="18">
        <f>'Fixed Fee'!AS46*9</f>
        <v>0</v>
      </c>
      <c r="AK34" s="18">
        <f>'Fixed Fee'!AT46*9</f>
        <v>0</v>
      </c>
      <c r="AL34" s="18">
        <f>'Fixed Fee'!AU46*9</f>
        <v>0</v>
      </c>
      <c r="AM34" s="18">
        <f>'Fixed Fee'!AV46*9</f>
        <v>0</v>
      </c>
      <c r="AN34" s="18">
        <f>'Fixed Fee'!AW46*9</f>
        <v>0</v>
      </c>
      <c r="AO34" s="18">
        <f>'Fixed Fee'!AX46*9</f>
        <v>0</v>
      </c>
      <c r="AP34" s="18">
        <f>'Fixed Fee'!AY46*9</f>
        <v>0</v>
      </c>
      <c r="AQ34" s="18">
        <f>'Fixed Fee'!AZ46*9</f>
        <v>0</v>
      </c>
      <c r="AR34" s="18">
        <f>'Fixed Fee'!BA46*9</f>
        <v>0</v>
      </c>
      <c r="AS34" s="18">
        <f>'Fixed Fee'!BB46*9</f>
        <v>0</v>
      </c>
      <c r="AT34" s="18">
        <f>'Fixed Fee'!BC46*9</f>
        <v>0</v>
      </c>
      <c r="AU34" s="18">
        <f>'Fixed Fee'!BD46*9</f>
        <v>0</v>
      </c>
      <c r="AV34" s="18">
        <f>'Fixed Fee'!BE46*9</f>
        <v>0</v>
      </c>
      <c r="AW34" s="18">
        <f>'Fixed Fee'!BF46*9</f>
        <v>0</v>
      </c>
      <c r="AX34" s="18">
        <f>'Fixed Fee'!BG46*9</f>
        <v>0</v>
      </c>
      <c r="AY34" s="18">
        <f>'Fixed Fee'!BH46*9</f>
        <v>0</v>
      </c>
      <c r="AZ34" s="18">
        <f>'Fixed Fee'!BI46*9</f>
        <v>0</v>
      </c>
      <c r="BA34" s="18">
        <f>'Fixed Fee'!BJ46*9</f>
        <v>0</v>
      </c>
      <c r="BB34" s="18">
        <f>'Fixed Fee'!BK46*9</f>
        <v>0</v>
      </c>
      <c r="BC34" s="18">
        <f>'Fixed Fee'!BL46*9</f>
        <v>0</v>
      </c>
      <c r="BD34" s="18">
        <f>'Fixed Fee'!BM46*9</f>
        <v>0</v>
      </c>
      <c r="BE34" s="18">
        <f>'Fixed Fee'!BN46*9</f>
        <v>0</v>
      </c>
      <c r="BF34" s="18">
        <f>'Fixed Fee'!BO46*9</f>
        <v>0</v>
      </c>
      <c r="BG34" s="18">
        <f>'Fixed Fee'!BP46*9</f>
        <v>0</v>
      </c>
      <c r="BH34" s="18">
        <f>'Fixed Fee'!BQ46*9</f>
        <v>0</v>
      </c>
      <c r="BI34" s="18">
        <f>'Fixed Fee'!BR46*9</f>
        <v>0</v>
      </c>
      <c r="BJ34" s="18">
        <f>'Fixed Fee'!BS46*9</f>
        <v>0</v>
      </c>
      <c r="BK34" s="18">
        <f>'Fixed Fee'!BT46*9</f>
        <v>0</v>
      </c>
      <c r="BL34" s="18">
        <f>'Fixed Fee'!BU46*9</f>
        <v>0</v>
      </c>
      <c r="BM34" s="18">
        <f>'Fixed Fee'!BV46*9</f>
        <v>0</v>
      </c>
      <c r="BN34" s="18">
        <f>'Fixed Fee'!BW46*9</f>
        <v>0</v>
      </c>
      <c r="BO34" s="18">
        <f>'Fixed Fee'!BX46*9</f>
        <v>0</v>
      </c>
      <c r="BP34" s="18">
        <f>'Fixed Fee'!BY46*9</f>
        <v>0</v>
      </c>
      <c r="BQ34" s="18">
        <f>'Fixed Fee'!BZ46*9</f>
        <v>0</v>
      </c>
      <c r="BR34" s="18">
        <f>'Fixed Fee'!CA46*9</f>
        <v>0</v>
      </c>
      <c r="BS34" s="18">
        <f>'Fixed Fee'!CB46*9</f>
        <v>0</v>
      </c>
      <c r="BT34" s="18">
        <f>'Fixed Fee'!CC46*9</f>
        <v>0</v>
      </c>
      <c r="BU34" s="18">
        <f>'Fixed Fee'!CD46*9</f>
        <v>0</v>
      </c>
      <c r="BV34" s="18">
        <f>'Fixed Fee'!CE46*9</f>
        <v>0</v>
      </c>
      <c r="BW34" s="18">
        <f>'Fixed Fee'!CF46*9</f>
        <v>0</v>
      </c>
      <c r="BX34" s="18">
        <f>'Fixed Fee'!CG46*9</f>
        <v>0</v>
      </c>
      <c r="BY34" s="18">
        <f>'Fixed Fee'!CH46*9</f>
        <v>0</v>
      </c>
    </row>
    <row r="35" spans="1:77" s="43" customFormat="1" ht="13" x14ac:dyDescent="0.45">
      <c r="A35" s="46">
        <f>'Fixed Fee'!C47</f>
        <v>0</v>
      </c>
      <c r="B35" s="18">
        <f>'Fixed Fee'!K47*9</f>
        <v>0</v>
      </c>
      <c r="C35" s="18">
        <f>'Fixed Fee'!L47*9</f>
        <v>0</v>
      </c>
      <c r="D35" s="18">
        <f>'Fixed Fee'!M47*9</f>
        <v>0</v>
      </c>
      <c r="E35" s="18">
        <f>'Fixed Fee'!N47*9</f>
        <v>0</v>
      </c>
      <c r="F35" s="18">
        <f>'Fixed Fee'!O47*9</f>
        <v>0</v>
      </c>
      <c r="G35" s="18">
        <f>'Fixed Fee'!P47*9</f>
        <v>0</v>
      </c>
      <c r="H35" s="18">
        <f>'Fixed Fee'!Q47*9</f>
        <v>0</v>
      </c>
      <c r="I35" s="18">
        <f>'Fixed Fee'!R47*9</f>
        <v>0</v>
      </c>
      <c r="J35" s="18">
        <f>'Fixed Fee'!S47*9</f>
        <v>0</v>
      </c>
      <c r="K35" s="18">
        <f>'Fixed Fee'!T47*9</f>
        <v>0</v>
      </c>
      <c r="L35" s="18">
        <f>'Fixed Fee'!U47*9</f>
        <v>0</v>
      </c>
      <c r="M35" s="18">
        <f>'Fixed Fee'!V47*9</f>
        <v>0</v>
      </c>
      <c r="N35" s="18">
        <f>'Fixed Fee'!W47*9</f>
        <v>0</v>
      </c>
      <c r="O35" s="18">
        <f>'Fixed Fee'!X47*9</f>
        <v>0</v>
      </c>
      <c r="P35" s="18">
        <f>'Fixed Fee'!Y47*9</f>
        <v>0</v>
      </c>
      <c r="Q35" s="18">
        <f>'Fixed Fee'!Z47*9</f>
        <v>0</v>
      </c>
      <c r="R35" s="18">
        <f>'Fixed Fee'!AA47*9</f>
        <v>0</v>
      </c>
      <c r="S35" s="18">
        <f>'Fixed Fee'!AB47*9</f>
        <v>0</v>
      </c>
      <c r="T35" s="18">
        <f>'Fixed Fee'!AC47*9</f>
        <v>0</v>
      </c>
      <c r="U35" s="18">
        <f>'Fixed Fee'!AD47*9</f>
        <v>0</v>
      </c>
      <c r="V35" s="18">
        <f>'Fixed Fee'!AE47*9</f>
        <v>0</v>
      </c>
      <c r="W35" s="18">
        <f>'Fixed Fee'!AF47*9</f>
        <v>0</v>
      </c>
      <c r="X35" s="18">
        <f>'Fixed Fee'!AG47*9</f>
        <v>0</v>
      </c>
      <c r="Y35" s="18">
        <f>'Fixed Fee'!AH47*9</f>
        <v>0</v>
      </c>
      <c r="Z35" s="18">
        <f>'Fixed Fee'!AI47*9</f>
        <v>0</v>
      </c>
      <c r="AA35" s="18">
        <f>'Fixed Fee'!AJ47*9</f>
        <v>0</v>
      </c>
      <c r="AB35" s="18">
        <f>'Fixed Fee'!AK47*9</f>
        <v>0</v>
      </c>
      <c r="AC35" s="18">
        <f>'Fixed Fee'!AL47*9</f>
        <v>0</v>
      </c>
      <c r="AD35" s="18">
        <f>'Fixed Fee'!AM47*9</f>
        <v>0</v>
      </c>
      <c r="AE35" s="18">
        <f>'Fixed Fee'!AN47*9</f>
        <v>0</v>
      </c>
      <c r="AF35" s="18">
        <f>'Fixed Fee'!AO47*9</f>
        <v>0</v>
      </c>
      <c r="AG35" s="18">
        <f>'Fixed Fee'!AP47*9</f>
        <v>0</v>
      </c>
      <c r="AH35" s="18">
        <f>'Fixed Fee'!AQ47*9</f>
        <v>0</v>
      </c>
      <c r="AI35" s="18">
        <f>'Fixed Fee'!AR47*9</f>
        <v>0</v>
      </c>
      <c r="AJ35" s="18">
        <f>'Fixed Fee'!AS47*9</f>
        <v>0</v>
      </c>
      <c r="AK35" s="18">
        <f>'Fixed Fee'!AT47*9</f>
        <v>0</v>
      </c>
      <c r="AL35" s="18">
        <f>'Fixed Fee'!AU47*9</f>
        <v>0</v>
      </c>
      <c r="AM35" s="18">
        <f>'Fixed Fee'!AV47*9</f>
        <v>0</v>
      </c>
      <c r="AN35" s="18">
        <f>'Fixed Fee'!AW47*9</f>
        <v>0</v>
      </c>
      <c r="AO35" s="18">
        <f>'Fixed Fee'!AX47*9</f>
        <v>0</v>
      </c>
      <c r="AP35" s="18">
        <f>'Fixed Fee'!AY47*9</f>
        <v>0</v>
      </c>
      <c r="AQ35" s="18">
        <f>'Fixed Fee'!AZ47*9</f>
        <v>0</v>
      </c>
      <c r="AR35" s="18">
        <f>'Fixed Fee'!BA47*9</f>
        <v>0</v>
      </c>
      <c r="AS35" s="18">
        <f>'Fixed Fee'!BB47*9</f>
        <v>0</v>
      </c>
      <c r="AT35" s="18">
        <f>'Fixed Fee'!BC47*9</f>
        <v>0</v>
      </c>
      <c r="AU35" s="18">
        <f>'Fixed Fee'!BD47*9</f>
        <v>0</v>
      </c>
      <c r="AV35" s="18">
        <f>'Fixed Fee'!BE47*9</f>
        <v>0</v>
      </c>
      <c r="AW35" s="18">
        <f>'Fixed Fee'!BF47*9</f>
        <v>0</v>
      </c>
      <c r="AX35" s="18">
        <f>'Fixed Fee'!BG47*9</f>
        <v>0</v>
      </c>
      <c r="AY35" s="18">
        <f>'Fixed Fee'!BH47*9</f>
        <v>0</v>
      </c>
      <c r="AZ35" s="18">
        <f>'Fixed Fee'!BI47*9</f>
        <v>0</v>
      </c>
      <c r="BA35" s="18">
        <f>'Fixed Fee'!BJ47*9</f>
        <v>0</v>
      </c>
      <c r="BB35" s="18">
        <f>'Fixed Fee'!BK47*9</f>
        <v>0</v>
      </c>
      <c r="BC35" s="18">
        <f>'Fixed Fee'!BL47*9</f>
        <v>0</v>
      </c>
      <c r="BD35" s="18">
        <f>'Fixed Fee'!BM47*9</f>
        <v>0</v>
      </c>
      <c r="BE35" s="18">
        <f>'Fixed Fee'!BN47*9</f>
        <v>0</v>
      </c>
      <c r="BF35" s="18">
        <f>'Fixed Fee'!BO47*9</f>
        <v>0</v>
      </c>
      <c r="BG35" s="18">
        <f>'Fixed Fee'!BP47*9</f>
        <v>0</v>
      </c>
      <c r="BH35" s="18">
        <f>'Fixed Fee'!BQ47*9</f>
        <v>0</v>
      </c>
      <c r="BI35" s="18">
        <f>'Fixed Fee'!BR47*9</f>
        <v>0</v>
      </c>
      <c r="BJ35" s="18">
        <f>'Fixed Fee'!BS47*9</f>
        <v>0</v>
      </c>
      <c r="BK35" s="18">
        <f>'Fixed Fee'!BT47*9</f>
        <v>0</v>
      </c>
      <c r="BL35" s="18">
        <f>'Fixed Fee'!BU47*9</f>
        <v>0</v>
      </c>
      <c r="BM35" s="18">
        <f>'Fixed Fee'!BV47*9</f>
        <v>0</v>
      </c>
      <c r="BN35" s="18">
        <f>'Fixed Fee'!BW47*9</f>
        <v>0</v>
      </c>
      <c r="BO35" s="18">
        <f>'Fixed Fee'!BX47*9</f>
        <v>0</v>
      </c>
      <c r="BP35" s="18">
        <f>'Fixed Fee'!BY47*9</f>
        <v>0</v>
      </c>
      <c r="BQ35" s="18">
        <f>'Fixed Fee'!BZ47*9</f>
        <v>0</v>
      </c>
      <c r="BR35" s="18">
        <f>'Fixed Fee'!CA47*9</f>
        <v>0</v>
      </c>
      <c r="BS35" s="18">
        <f>'Fixed Fee'!CB47*9</f>
        <v>0</v>
      </c>
      <c r="BT35" s="18">
        <f>'Fixed Fee'!CC47*9</f>
        <v>0</v>
      </c>
      <c r="BU35" s="18">
        <f>'Fixed Fee'!CD47*9</f>
        <v>0</v>
      </c>
      <c r="BV35" s="18">
        <f>'Fixed Fee'!CE47*9</f>
        <v>0</v>
      </c>
      <c r="BW35" s="18">
        <f>'Fixed Fee'!CF47*9</f>
        <v>0</v>
      </c>
      <c r="BX35" s="18">
        <f>'Fixed Fee'!CG47*9</f>
        <v>0</v>
      </c>
      <c r="BY35" s="18">
        <f>'Fixed Fee'!CH47*9</f>
        <v>0</v>
      </c>
    </row>
    <row r="36" spans="1:77" s="43" customFormat="1" ht="13" x14ac:dyDescent="0.45">
      <c r="A36" s="46">
        <f>'Fixed Fee'!C48</f>
        <v>0</v>
      </c>
      <c r="B36" s="18">
        <f>'Fixed Fee'!K48*9</f>
        <v>0</v>
      </c>
      <c r="C36" s="18">
        <f>'Fixed Fee'!L48*9</f>
        <v>0</v>
      </c>
      <c r="D36" s="18">
        <f>'Fixed Fee'!M48*9</f>
        <v>0</v>
      </c>
      <c r="E36" s="18">
        <f>'Fixed Fee'!N48*9</f>
        <v>0</v>
      </c>
      <c r="F36" s="18">
        <f>'Fixed Fee'!O48*9</f>
        <v>0</v>
      </c>
      <c r="G36" s="18">
        <f>'Fixed Fee'!P48*9</f>
        <v>0</v>
      </c>
      <c r="H36" s="18">
        <f>'Fixed Fee'!Q48*9</f>
        <v>0</v>
      </c>
      <c r="I36" s="18">
        <f>'Fixed Fee'!R48*9</f>
        <v>0</v>
      </c>
      <c r="J36" s="18">
        <f>'Fixed Fee'!S48*9</f>
        <v>0</v>
      </c>
      <c r="K36" s="18">
        <f>'Fixed Fee'!T48*9</f>
        <v>0</v>
      </c>
      <c r="L36" s="18">
        <f>'Fixed Fee'!U48*9</f>
        <v>0</v>
      </c>
      <c r="M36" s="18">
        <f>'Fixed Fee'!V48*9</f>
        <v>0</v>
      </c>
      <c r="N36" s="18">
        <f>'Fixed Fee'!W48*9</f>
        <v>0</v>
      </c>
      <c r="O36" s="18">
        <f>'Fixed Fee'!X48*9</f>
        <v>0</v>
      </c>
      <c r="P36" s="18">
        <f>'Fixed Fee'!Y48*9</f>
        <v>0</v>
      </c>
      <c r="Q36" s="18">
        <f>'Fixed Fee'!Z48*9</f>
        <v>0</v>
      </c>
      <c r="R36" s="18">
        <f>'Fixed Fee'!AA48*9</f>
        <v>0</v>
      </c>
      <c r="S36" s="18">
        <f>'Fixed Fee'!AB48*9</f>
        <v>0</v>
      </c>
      <c r="T36" s="18">
        <f>'Fixed Fee'!AC48*9</f>
        <v>0</v>
      </c>
      <c r="U36" s="18">
        <f>'Fixed Fee'!AD48*9</f>
        <v>0</v>
      </c>
      <c r="V36" s="18">
        <f>'Fixed Fee'!AE48*9</f>
        <v>0</v>
      </c>
      <c r="W36" s="18">
        <f>'Fixed Fee'!AF48*9</f>
        <v>0</v>
      </c>
      <c r="X36" s="18">
        <f>'Fixed Fee'!AG48*9</f>
        <v>0</v>
      </c>
      <c r="Y36" s="18">
        <f>'Fixed Fee'!AH48*9</f>
        <v>0</v>
      </c>
      <c r="Z36" s="18">
        <f>'Fixed Fee'!AI48*9</f>
        <v>0</v>
      </c>
      <c r="AA36" s="18">
        <f>'Fixed Fee'!AJ48*9</f>
        <v>0</v>
      </c>
      <c r="AB36" s="18">
        <f>'Fixed Fee'!AK48*9</f>
        <v>0</v>
      </c>
      <c r="AC36" s="18">
        <f>'Fixed Fee'!AL48*9</f>
        <v>0</v>
      </c>
      <c r="AD36" s="18">
        <f>'Fixed Fee'!AM48*9</f>
        <v>0</v>
      </c>
      <c r="AE36" s="18">
        <f>'Fixed Fee'!AN48*9</f>
        <v>0</v>
      </c>
      <c r="AF36" s="18">
        <f>'Fixed Fee'!AO48*9</f>
        <v>0</v>
      </c>
      <c r="AG36" s="18">
        <f>'Fixed Fee'!AP48*9</f>
        <v>0</v>
      </c>
      <c r="AH36" s="18">
        <f>'Fixed Fee'!AQ48*9</f>
        <v>0</v>
      </c>
      <c r="AI36" s="18">
        <f>'Fixed Fee'!AR48*9</f>
        <v>0</v>
      </c>
      <c r="AJ36" s="18">
        <f>'Fixed Fee'!AS48*9</f>
        <v>0</v>
      </c>
      <c r="AK36" s="18">
        <f>'Fixed Fee'!AT48*9</f>
        <v>0</v>
      </c>
      <c r="AL36" s="18">
        <f>'Fixed Fee'!AU48*9</f>
        <v>0</v>
      </c>
      <c r="AM36" s="18">
        <f>'Fixed Fee'!AV48*9</f>
        <v>0</v>
      </c>
      <c r="AN36" s="18">
        <f>'Fixed Fee'!AW48*9</f>
        <v>0</v>
      </c>
      <c r="AO36" s="18">
        <f>'Fixed Fee'!AX48*9</f>
        <v>0</v>
      </c>
      <c r="AP36" s="18">
        <f>'Fixed Fee'!AY48*9</f>
        <v>0</v>
      </c>
      <c r="AQ36" s="18">
        <f>'Fixed Fee'!AZ48*9</f>
        <v>0</v>
      </c>
      <c r="AR36" s="18">
        <f>'Fixed Fee'!BA48*9</f>
        <v>0</v>
      </c>
      <c r="AS36" s="18">
        <f>'Fixed Fee'!BB48*9</f>
        <v>0</v>
      </c>
      <c r="AT36" s="18">
        <f>'Fixed Fee'!BC48*9</f>
        <v>0</v>
      </c>
      <c r="AU36" s="18">
        <f>'Fixed Fee'!BD48*9</f>
        <v>0</v>
      </c>
      <c r="AV36" s="18">
        <f>'Fixed Fee'!BE48*9</f>
        <v>0</v>
      </c>
      <c r="AW36" s="18">
        <f>'Fixed Fee'!BF48*9</f>
        <v>0</v>
      </c>
      <c r="AX36" s="18">
        <f>'Fixed Fee'!BG48*9</f>
        <v>0</v>
      </c>
      <c r="AY36" s="18">
        <f>'Fixed Fee'!BH48*9</f>
        <v>0</v>
      </c>
      <c r="AZ36" s="18">
        <f>'Fixed Fee'!BI48*9</f>
        <v>0</v>
      </c>
      <c r="BA36" s="18">
        <f>'Fixed Fee'!BJ48*9</f>
        <v>0</v>
      </c>
      <c r="BB36" s="18">
        <f>'Fixed Fee'!BK48*9</f>
        <v>0</v>
      </c>
      <c r="BC36" s="18">
        <f>'Fixed Fee'!BL48*9</f>
        <v>0</v>
      </c>
      <c r="BD36" s="18">
        <f>'Fixed Fee'!BM48*9</f>
        <v>0</v>
      </c>
      <c r="BE36" s="18">
        <f>'Fixed Fee'!BN48*9</f>
        <v>0</v>
      </c>
      <c r="BF36" s="18">
        <f>'Fixed Fee'!BO48*9</f>
        <v>0</v>
      </c>
      <c r="BG36" s="18">
        <f>'Fixed Fee'!BP48*9</f>
        <v>0</v>
      </c>
      <c r="BH36" s="18">
        <f>'Fixed Fee'!BQ48*9</f>
        <v>0</v>
      </c>
      <c r="BI36" s="18">
        <f>'Fixed Fee'!BR48*9</f>
        <v>0</v>
      </c>
      <c r="BJ36" s="18">
        <f>'Fixed Fee'!BS48*9</f>
        <v>0</v>
      </c>
      <c r="BK36" s="18">
        <f>'Fixed Fee'!BT48*9</f>
        <v>0</v>
      </c>
      <c r="BL36" s="18">
        <f>'Fixed Fee'!BU48*9</f>
        <v>0</v>
      </c>
      <c r="BM36" s="18">
        <f>'Fixed Fee'!BV48*9</f>
        <v>0</v>
      </c>
      <c r="BN36" s="18">
        <f>'Fixed Fee'!BW48*9</f>
        <v>0</v>
      </c>
      <c r="BO36" s="18">
        <f>'Fixed Fee'!BX48*9</f>
        <v>0</v>
      </c>
      <c r="BP36" s="18">
        <f>'Fixed Fee'!BY48*9</f>
        <v>0</v>
      </c>
      <c r="BQ36" s="18">
        <f>'Fixed Fee'!BZ48*9</f>
        <v>0</v>
      </c>
      <c r="BR36" s="18">
        <f>'Fixed Fee'!CA48*9</f>
        <v>0</v>
      </c>
      <c r="BS36" s="18">
        <f>'Fixed Fee'!CB48*9</f>
        <v>0</v>
      </c>
      <c r="BT36" s="18">
        <f>'Fixed Fee'!CC48*9</f>
        <v>0</v>
      </c>
      <c r="BU36" s="18">
        <f>'Fixed Fee'!CD48*9</f>
        <v>0</v>
      </c>
      <c r="BV36" s="18">
        <f>'Fixed Fee'!CE48*9</f>
        <v>0</v>
      </c>
      <c r="BW36" s="18">
        <f>'Fixed Fee'!CF48*9</f>
        <v>0</v>
      </c>
      <c r="BX36" s="18">
        <f>'Fixed Fee'!CG48*9</f>
        <v>0</v>
      </c>
      <c r="BY36" s="18">
        <f>'Fixed Fee'!CH48*9</f>
        <v>0</v>
      </c>
    </row>
    <row r="37" spans="1:77" s="44" customFormat="1" ht="13.5" customHeight="1" thickBot="1" x14ac:dyDescent="0.45"/>
    <row r="38" spans="1:77" ht="13" x14ac:dyDescent="0.4">
      <c r="A38" s="42" t="str">
        <f>'Fixed Fee'!C54</f>
        <v>Contractor Name</v>
      </c>
      <c r="B38" s="42" t="str">
        <f>'Fixed Fee'!K54</f>
        <v>Week 1</v>
      </c>
      <c r="C38" s="42" t="str">
        <f>'Fixed Fee'!L54</f>
        <v>Week 2</v>
      </c>
      <c r="D38" s="42" t="str">
        <f>'Fixed Fee'!M54</f>
        <v>Week 3</v>
      </c>
      <c r="E38" s="42" t="str">
        <f>'Fixed Fee'!N54</f>
        <v>Week 4</v>
      </c>
      <c r="F38" s="42" t="str">
        <f>'Fixed Fee'!O54</f>
        <v>Week 5</v>
      </c>
      <c r="G38" s="42" t="str">
        <f>'Fixed Fee'!P54</f>
        <v>Week 6</v>
      </c>
      <c r="H38" s="42" t="str">
        <f>'Fixed Fee'!Q54</f>
        <v>Week 7</v>
      </c>
      <c r="I38" s="42" t="str">
        <f>'Fixed Fee'!R54</f>
        <v>Week 8</v>
      </c>
      <c r="J38" s="42" t="str">
        <f>'Fixed Fee'!S54</f>
        <v>Week 9</v>
      </c>
      <c r="K38" s="42" t="str">
        <f>'Fixed Fee'!T54</f>
        <v>Week 10</v>
      </c>
      <c r="L38" s="42" t="str">
        <f>'Fixed Fee'!U54</f>
        <v>Week 11</v>
      </c>
      <c r="M38" s="42" t="str">
        <f>'Fixed Fee'!V54</f>
        <v>Week 12</v>
      </c>
      <c r="N38" s="42" t="str">
        <f>'Fixed Fee'!W54</f>
        <v>Week 13</v>
      </c>
      <c r="O38" s="42" t="str">
        <f>'Fixed Fee'!X54</f>
        <v>Week 14</v>
      </c>
      <c r="P38" s="42" t="str">
        <f>'Fixed Fee'!Y54</f>
        <v>Week 15</v>
      </c>
      <c r="Q38" s="42" t="str">
        <f>'Fixed Fee'!Z54</f>
        <v>Week 16</v>
      </c>
      <c r="R38" s="42" t="str">
        <f>'Fixed Fee'!AA54</f>
        <v>Week 17</v>
      </c>
      <c r="S38" s="42" t="str">
        <f>'Fixed Fee'!AB54</f>
        <v>Week 18</v>
      </c>
      <c r="T38" s="42" t="str">
        <f>'Fixed Fee'!AC54</f>
        <v>Week 19</v>
      </c>
      <c r="U38" s="42" t="str">
        <f>'Fixed Fee'!AD54</f>
        <v>Week 20</v>
      </c>
      <c r="V38" s="42" t="str">
        <f>'Fixed Fee'!AE54</f>
        <v>Week 21</v>
      </c>
      <c r="W38" s="42" t="str">
        <f>'Fixed Fee'!AF54</f>
        <v>Week 22</v>
      </c>
      <c r="X38" s="42" t="str">
        <f>'Fixed Fee'!AG54</f>
        <v>Week 23</v>
      </c>
      <c r="Y38" s="42" t="str">
        <f>'Fixed Fee'!AH54</f>
        <v>Week 24</v>
      </c>
      <c r="Z38" s="42" t="str">
        <f>'Fixed Fee'!AI54</f>
        <v>Week 25</v>
      </c>
      <c r="AA38" s="42" t="str">
        <f>'Fixed Fee'!AJ54</f>
        <v>Week 26</v>
      </c>
      <c r="AB38" s="42" t="str">
        <f>'Fixed Fee'!AK54</f>
        <v>Week 27</v>
      </c>
      <c r="AC38" s="42" t="str">
        <f>'Fixed Fee'!AL54</f>
        <v>Week 28</v>
      </c>
      <c r="AD38" s="42" t="str">
        <f>'Fixed Fee'!AM54</f>
        <v>Week 29</v>
      </c>
      <c r="AE38" s="42" t="str">
        <f>'Fixed Fee'!AN54</f>
        <v>Week 30</v>
      </c>
      <c r="AF38" s="42" t="str">
        <f>'Fixed Fee'!AO54</f>
        <v>Week 31</v>
      </c>
      <c r="AG38" s="42" t="str">
        <f>'Fixed Fee'!AP54</f>
        <v>Week 32</v>
      </c>
      <c r="AH38" s="42" t="str">
        <f>'Fixed Fee'!AQ54</f>
        <v>Week 33</v>
      </c>
      <c r="AI38" s="42" t="str">
        <f>'Fixed Fee'!AR54</f>
        <v>Week 34</v>
      </c>
      <c r="AJ38" s="42" t="str">
        <f>'Fixed Fee'!AS54</f>
        <v>Week 35</v>
      </c>
      <c r="AK38" s="42" t="str">
        <f>'Fixed Fee'!AT54</f>
        <v>Week 36</v>
      </c>
      <c r="AL38" s="42" t="str">
        <f>'Fixed Fee'!AU54</f>
        <v>Week 37</v>
      </c>
      <c r="AM38" s="42" t="str">
        <f>'Fixed Fee'!AV54</f>
        <v>Week 38</v>
      </c>
      <c r="AN38" s="42" t="str">
        <f>'Fixed Fee'!AW54</f>
        <v>Week 39</v>
      </c>
      <c r="AO38" s="42" t="str">
        <f>'Fixed Fee'!AX54</f>
        <v>Week 40</v>
      </c>
      <c r="AP38" s="42" t="str">
        <f>'Fixed Fee'!AY54</f>
        <v>Week 41</v>
      </c>
      <c r="AQ38" s="42" t="str">
        <f>'Fixed Fee'!AZ54</f>
        <v>Week 42</v>
      </c>
      <c r="AR38" s="42" t="str">
        <f>'Fixed Fee'!BA54</f>
        <v>Week 43</v>
      </c>
      <c r="AS38" s="42" t="str">
        <f>'Fixed Fee'!BB54</f>
        <v>Week 44</v>
      </c>
      <c r="AT38" s="42" t="str">
        <f>'Fixed Fee'!BC54</f>
        <v>Week 45</v>
      </c>
      <c r="AU38" s="42" t="str">
        <f>'Fixed Fee'!BD54</f>
        <v>Week 46</v>
      </c>
      <c r="AV38" s="42" t="str">
        <f>'Fixed Fee'!BE54</f>
        <v>Week 47</v>
      </c>
      <c r="AW38" s="42" t="str">
        <f>'Fixed Fee'!BF54</f>
        <v>Week 48</v>
      </c>
      <c r="AX38" s="42" t="str">
        <f>'Fixed Fee'!BG54</f>
        <v>Week 49</v>
      </c>
      <c r="AY38" s="42" t="str">
        <f>'Fixed Fee'!BH54</f>
        <v>Week 50</v>
      </c>
      <c r="AZ38" s="42" t="str">
        <f>'Fixed Fee'!BI54</f>
        <v>Week 51</v>
      </c>
      <c r="BA38" s="42" t="str">
        <f>'Fixed Fee'!BJ54</f>
        <v>Week 52</v>
      </c>
      <c r="BB38" s="42" t="str">
        <f>'Fixed Fee'!BK54</f>
        <v>Week 53</v>
      </c>
      <c r="BC38" s="42" t="str">
        <f>'Fixed Fee'!BL54</f>
        <v>Week 54</v>
      </c>
      <c r="BD38" s="42" t="str">
        <f>'Fixed Fee'!BM54</f>
        <v>Week 55</v>
      </c>
      <c r="BE38" s="42" t="str">
        <f>'Fixed Fee'!BN54</f>
        <v>Week 56</v>
      </c>
      <c r="BF38" s="42" t="str">
        <f>'Fixed Fee'!BO54</f>
        <v>Week 57</v>
      </c>
      <c r="BG38" s="42" t="str">
        <f>'Fixed Fee'!BP54</f>
        <v>Week 58</v>
      </c>
      <c r="BH38" s="42" t="str">
        <f>'Fixed Fee'!BQ54</f>
        <v>Week 59</v>
      </c>
      <c r="BI38" s="42" t="str">
        <f>'Fixed Fee'!BR54</f>
        <v>Week 60</v>
      </c>
      <c r="BJ38" s="42" t="str">
        <f>'Fixed Fee'!BS54</f>
        <v>Week 61</v>
      </c>
      <c r="BK38" s="42" t="str">
        <f>'Fixed Fee'!BT54</f>
        <v>Week 62</v>
      </c>
      <c r="BL38" s="42" t="str">
        <f>'Fixed Fee'!BU54</f>
        <v>Week 63</v>
      </c>
      <c r="BM38" s="42" t="str">
        <f>'Fixed Fee'!BV54</f>
        <v>Week 64</v>
      </c>
      <c r="BN38" s="42" t="str">
        <f>'Fixed Fee'!BW54</f>
        <v>Week 65</v>
      </c>
      <c r="BO38" s="42" t="str">
        <f>'Fixed Fee'!BX54</f>
        <v>Week 66</v>
      </c>
      <c r="BP38" s="42" t="str">
        <f>'Fixed Fee'!BY54</f>
        <v>Week 67</v>
      </c>
      <c r="BQ38" s="42" t="str">
        <f>'Fixed Fee'!BZ54</f>
        <v>Week 68</v>
      </c>
      <c r="BR38" s="42" t="str">
        <f>'Fixed Fee'!CA54</f>
        <v>Week 69</v>
      </c>
      <c r="BS38" s="42" t="str">
        <f>'Fixed Fee'!CB54</f>
        <v>Week 70</v>
      </c>
      <c r="BT38" s="42" t="str">
        <f>'Fixed Fee'!CC54</f>
        <v>Week 71</v>
      </c>
      <c r="BU38" s="42" t="str">
        <f>'Fixed Fee'!CD54</f>
        <v>Week 72</v>
      </c>
      <c r="BV38" s="42" t="str">
        <f>'Fixed Fee'!CE54</f>
        <v>Week 73</v>
      </c>
      <c r="BW38" s="42" t="str">
        <f>'Fixed Fee'!CF54</f>
        <v>Week 74</v>
      </c>
      <c r="BX38" s="42" t="str">
        <f>'Fixed Fee'!CG54</f>
        <v>Week 75</v>
      </c>
      <c r="BY38" s="42" t="str">
        <f>'Fixed Fee'!CH54</f>
        <v>Week 76</v>
      </c>
    </row>
    <row r="39" spans="1:77" s="43" customFormat="1" ht="13" x14ac:dyDescent="0.45">
      <c r="A39" s="46">
        <f>'Fixed Fee'!C56</f>
        <v>0</v>
      </c>
      <c r="B39" s="18">
        <f>'Fixed Fee'!K56</f>
        <v>0</v>
      </c>
      <c r="C39" s="18">
        <f>'Fixed Fee'!L56</f>
        <v>0</v>
      </c>
      <c r="D39" s="18">
        <f>'Fixed Fee'!M56</f>
        <v>0</v>
      </c>
      <c r="E39" s="18">
        <f>'Fixed Fee'!N56</f>
        <v>0</v>
      </c>
      <c r="F39" s="18">
        <f>'Fixed Fee'!O56</f>
        <v>0</v>
      </c>
      <c r="G39" s="18">
        <f>'Fixed Fee'!P56</f>
        <v>0</v>
      </c>
      <c r="H39" s="18">
        <f>'Fixed Fee'!Q56</f>
        <v>0</v>
      </c>
      <c r="I39" s="18">
        <f>'Fixed Fee'!R56</f>
        <v>0</v>
      </c>
      <c r="J39" s="18">
        <f>'Fixed Fee'!S56</f>
        <v>0</v>
      </c>
      <c r="K39" s="18">
        <f>'Fixed Fee'!T56</f>
        <v>0</v>
      </c>
      <c r="L39" s="18">
        <f>'Fixed Fee'!U56</f>
        <v>0</v>
      </c>
      <c r="M39" s="18">
        <f>'Fixed Fee'!V56</f>
        <v>0</v>
      </c>
      <c r="N39" s="18">
        <f>'Fixed Fee'!W56</f>
        <v>0</v>
      </c>
      <c r="O39" s="18">
        <f>'Fixed Fee'!X56</f>
        <v>0</v>
      </c>
      <c r="P39" s="18">
        <f>'Fixed Fee'!Y56</f>
        <v>0</v>
      </c>
      <c r="Q39" s="18">
        <f>'Fixed Fee'!Z56</f>
        <v>0</v>
      </c>
      <c r="R39" s="18">
        <f>'Fixed Fee'!AA56</f>
        <v>0</v>
      </c>
      <c r="S39" s="18">
        <f>'Fixed Fee'!AB56</f>
        <v>0</v>
      </c>
      <c r="T39" s="18">
        <f>'Fixed Fee'!AC56</f>
        <v>0</v>
      </c>
      <c r="U39" s="18">
        <f>'Fixed Fee'!AD56</f>
        <v>0</v>
      </c>
      <c r="V39" s="18">
        <f>'Fixed Fee'!AE56</f>
        <v>0</v>
      </c>
      <c r="W39" s="18">
        <f>'Fixed Fee'!AF56</f>
        <v>0</v>
      </c>
      <c r="X39" s="18">
        <f>'Fixed Fee'!AG56</f>
        <v>0</v>
      </c>
      <c r="Y39" s="18">
        <f>'Fixed Fee'!AH56</f>
        <v>0</v>
      </c>
      <c r="Z39" s="18">
        <f>'Fixed Fee'!AI56</f>
        <v>0</v>
      </c>
      <c r="AA39" s="18">
        <f>'Fixed Fee'!AJ56</f>
        <v>0</v>
      </c>
      <c r="AB39" s="18">
        <f>'Fixed Fee'!AK56</f>
        <v>0</v>
      </c>
      <c r="AC39" s="18">
        <f>'Fixed Fee'!AL56</f>
        <v>0</v>
      </c>
      <c r="AD39" s="18">
        <f>'Fixed Fee'!AM56</f>
        <v>0</v>
      </c>
      <c r="AE39" s="18">
        <f>'Fixed Fee'!AN56</f>
        <v>0</v>
      </c>
      <c r="AF39" s="18">
        <f>'Fixed Fee'!AO56</f>
        <v>0</v>
      </c>
      <c r="AG39" s="18">
        <f>'Fixed Fee'!AP56</f>
        <v>0</v>
      </c>
      <c r="AH39" s="18">
        <f>'Fixed Fee'!AQ56</f>
        <v>0</v>
      </c>
      <c r="AI39" s="18">
        <f>'Fixed Fee'!AR56</f>
        <v>0</v>
      </c>
      <c r="AJ39" s="18">
        <f>'Fixed Fee'!AS56</f>
        <v>0</v>
      </c>
      <c r="AK39" s="18">
        <f>'Fixed Fee'!AT56</f>
        <v>0</v>
      </c>
      <c r="AL39" s="18">
        <f>'Fixed Fee'!AU56</f>
        <v>0</v>
      </c>
      <c r="AM39" s="18">
        <f>'Fixed Fee'!AV56</f>
        <v>0</v>
      </c>
      <c r="AN39" s="18">
        <f>'Fixed Fee'!AW56</f>
        <v>0</v>
      </c>
      <c r="AO39" s="18">
        <f>'Fixed Fee'!AX56</f>
        <v>0</v>
      </c>
      <c r="AP39" s="18">
        <f>'Fixed Fee'!AY56</f>
        <v>0</v>
      </c>
      <c r="AQ39" s="18">
        <f>'Fixed Fee'!AZ56</f>
        <v>0</v>
      </c>
      <c r="AR39" s="18">
        <f>'Fixed Fee'!BA56</f>
        <v>0</v>
      </c>
      <c r="AS39" s="18">
        <f>'Fixed Fee'!BB56</f>
        <v>0</v>
      </c>
      <c r="AT39" s="18">
        <f>'Fixed Fee'!BC56</f>
        <v>0</v>
      </c>
      <c r="AU39" s="18">
        <f>'Fixed Fee'!BD56</f>
        <v>0</v>
      </c>
      <c r="AV39" s="18">
        <f>'Fixed Fee'!BE56</f>
        <v>0</v>
      </c>
      <c r="AW39" s="18">
        <f>'Fixed Fee'!BF56</f>
        <v>0</v>
      </c>
      <c r="AX39" s="18">
        <f>'Fixed Fee'!BG56</f>
        <v>0</v>
      </c>
      <c r="AY39" s="18">
        <f>'Fixed Fee'!BH56</f>
        <v>0</v>
      </c>
      <c r="AZ39" s="18">
        <f>'Fixed Fee'!BI56</f>
        <v>0</v>
      </c>
      <c r="BA39" s="18">
        <f>'Fixed Fee'!BJ56</f>
        <v>0</v>
      </c>
      <c r="BB39" s="18">
        <f>'Fixed Fee'!BK56</f>
        <v>0</v>
      </c>
      <c r="BC39" s="18">
        <f>'Fixed Fee'!BL56</f>
        <v>0</v>
      </c>
      <c r="BD39" s="18">
        <f>'Fixed Fee'!BM56</f>
        <v>0</v>
      </c>
      <c r="BE39" s="18">
        <f>'Fixed Fee'!BN56</f>
        <v>0</v>
      </c>
      <c r="BF39" s="18">
        <f>'Fixed Fee'!BO56</f>
        <v>0</v>
      </c>
      <c r="BG39" s="18">
        <f>'Fixed Fee'!BP56</f>
        <v>0</v>
      </c>
      <c r="BH39" s="18">
        <f>'Fixed Fee'!BQ56</f>
        <v>0</v>
      </c>
      <c r="BI39" s="18">
        <f>'Fixed Fee'!BR56</f>
        <v>0</v>
      </c>
      <c r="BJ39" s="18">
        <f>'Fixed Fee'!BS56</f>
        <v>0</v>
      </c>
      <c r="BK39" s="18">
        <f>'Fixed Fee'!BT56</f>
        <v>0</v>
      </c>
      <c r="BL39" s="18">
        <f>'Fixed Fee'!BU56</f>
        <v>0</v>
      </c>
      <c r="BM39" s="18">
        <f>'Fixed Fee'!BV56</f>
        <v>0</v>
      </c>
      <c r="BN39" s="18">
        <f>'Fixed Fee'!BW56</f>
        <v>0</v>
      </c>
      <c r="BO39" s="18">
        <f>'Fixed Fee'!BX56</f>
        <v>0</v>
      </c>
      <c r="BP39" s="18">
        <f>'Fixed Fee'!BY56</f>
        <v>0</v>
      </c>
      <c r="BQ39" s="18">
        <f>'Fixed Fee'!BZ56</f>
        <v>0</v>
      </c>
      <c r="BR39" s="18">
        <f>'Fixed Fee'!CA56</f>
        <v>0</v>
      </c>
      <c r="BS39" s="18">
        <f>'Fixed Fee'!CB56</f>
        <v>0</v>
      </c>
      <c r="BT39" s="18">
        <f>'Fixed Fee'!CC56</f>
        <v>0</v>
      </c>
      <c r="BU39" s="18">
        <f>'Fixed Fee'!CD56</f>
        <v>0</v>
      </c>
      <c r="BV39" s="18">
        <f>'Fixed Fee'!CE56</f>
        <v>0</v>
      </c>
      <c r="BW39" s="18">
        <f>'Fixed Fee'!CF56</f>
        <v>0</v>
      </c>
      <c r="BX39" s="18">
        <f>'Fixed Fee'!CG56</f>
        <v>0</v>
      </c>
      <c r="BY39" s="18">
        <f>'Fixed Fee'!CH56</f>
        <v>0</v>
      </c>
    </row>
    <row r="40" spans="1:77" s="43" customFormat="1" ht="13" x14ac:dyDescent="0.45">
      <c r="A40" s="46">
        <f>'Fixed Fee'!C57</f>
        <v>0</v>
      </c>
      <c r="B40" s="18">
        <f>'Fixed Fee'!K57</f>
        <v>0</v>
      </c>
      <c r="C40" s="18">
        <f>'Fixed Fee'!L57</f>
        <v>0</v>
      </c>
      <c r="D40" s="18">
        <f>'Fixed Fee'!M57</f>
        <v>0</v>
      </c>
      <c r="E40" s="18">
        <f>'Fixed Fee'!N57</f>
        <v>0</v>
      </c>
      <c r="F40" s="18">
        <f>'Fixed Fee'!O57</f>
        <v>0</v>
      </c>
      <c r="G40" s="18">
        <f>'Fixed Fee'!P57</f>
        <v>0</v>
      </c>
      <c r="H40" s="18">
        <f>'Fixed Fee'!Q57</f>
        <v>0</v>
      </c>
      <c r="I40" s="18">
        <f>'Fixed Fee'!R57</f>
        <v>0</v>
      </c>
      <c r="J40" s="18">
        <f>'Fixed Fee'!S57</f>
        <v>0</v>
      </c>
      <c r="K40" s="18">
        <f>'Fixed Fee'!T57</f>
        <v>0</v>
      </c>
      <c r="L40" s="18">
        <f>'Fixed Fee'!U57</f>
        <v>0</v>
      </c>
      <c r="M40" s="18">
        <f>'Fixed Fee'!V57</f>
        <v>0</v>
      </c>
      <c r="N40" s="18">
        <f>'Fixed Fee'!W57</f>
        <v>0</v>
      </c>
      <c r="O40" s="18">
        <f>'Fixed Fee'!X57</f>
        <v>0</v>
      </c>
      <c r="P40" s="18">
        <f>'Fixed Fee'!Y57</f>
        <v>0</v>
      </c>
      <c r="Q40" s="18">
        <f>'Fixed Fee'!Z57</f>
        <v>0</v>
      </c>
      <c r="R40" s="18">
        <f>'Fixed Fee'!AA57</f>
        <v>0</v>
      </c>
      <c r="S40" s="18">
        <f>'Fixed Fee'!AB57</f>
        <v>0</v>
      </c>
      <c r="T40" s="18">
        <f>'Fixed Fee'!AC57</f>
        <v>0</v>
      </c>
      <c r="U40" s="18">
        <f>'Fixed Fee'!AD57</f>
        <v>0</v>
      </c>
      <c r="V40" s="18">
        <f>'Fixed Fee'!AE57</f>
        <v>0</v>
      </c>
      <c r="W40" s="18">
        <f>'Fixed Fee'!AF57</f>
        <v>0</v>
      </c>
      <c r="X40" s="18">
        <f>'Fixed Fee'!AG57</f>
        <v>0</v>
      </c>
      <c r="Y40" s="18">
        <f>'Fixed Fee'!AH57</f>
        <v>0</v>
      </c>
      <c r="Z40" s="18">
        <f>'Fixed Fee'!AI57</f>
        <v>0</v>
      </c>
      <c r="AA40" s="18">
        <f>'Fixed Fee'!AJ57</f>
        <v>0</v>
      </c>
      <c r="AB40" s="18">
        <f>'Fixed Fee'!AK57</f>
        <v>0</v>
      </c>
      <c r="AC40" s="18">
        <f>'Fixed Fee'!AL57</f>
        <v>0</v>
      </c>
      <c r="AD40" s="18">
        <f>'Fixed Fee'!AM57</f>
        <v>0</v>
      </c>
      <c r="AE40" s="18">
        <f>'Fixed Fee'!AN57</f>
        <v>0</v>
      </c>
      <c r="AF40" s="18">
        <f>'Fixed Fee'!AO57</f>
        <v>0</v>
      </c>
      <c r="AG40" s="18">
        <f>'Fixed Fee'!AP57</f>
        <v>0</v>
      </c>
      <c r="AH40" s="18">
        <f>'Fixed Fee'!AQ57</f>
        <v>0</v>
      </c>
      <c r="AI40" s="18">
        <f>'Fixed Fee'!AR57</f>
        <v>0</v>
      </c>
      <c r="AJ40" s="18">
        <f>'Fixed Fee'!AS57</f>
        <v>0</v>
      </c>
      <c r="AK40" s="18">
        <f>'Fixed Fee'!AT57</f>
        <v>0</v>
      </c>
      <c r="AL40" s="18">
        <f>'Fixed Fee'!AU57</f>
        <v>0</v>
      </c>
      <c r="AM40" s="18">
        <f>'Fixed Fee'!AV57</f>
        <v>0</v>
      </c>
      <c r="AN40" s="18">
        <f>'Fixed Fee'!AW57</f>
        <v>0</v>
      </c>
      <c r="AO40" s="18">
        <f>'Fixed Fee'!AX57</f>
        <v>0</v>
      </c>
      <c r="AP40" s="18">
        <f>'Fixed Fee'!AY57</f>
        <v>0</v>
      </c>
      <c r="AQ40" s="18">
        <f>'Fixed Fee'!AZ57</f>
        <v>0</v>
      </c>
      <c r="AR40" s="18">
        <f>'Fixed Fee'!BA57</f>
        <v>0</v>
      </c>
      <c r="AS40" s="18">
        <f>'Fixed Fee'!BB57</f>
        <v>0</v>
      </c>
      <c r="AT40" s="18">
        <f>'Fixed Fee'!BC57</f>
        <v>0</v>
      </c>
      <c r="AU40" s="18">
        <f>'Fixed Fee'!BD57</f>
        <v>0</v>
      </c>
      <c r="AV40" s="18">
        <f>'Fixed Fee'!BE57</f>
        <v>0</v>
      </c>
      <c r="AW40" s="18">
        <f>'Fixed Fee'!BF57</f>
        <v>0</v>
      </c>
      <c r="AX40" s="18">
        <f>'Fixed Fee'!BG57</f>
        <v>0</v>
      </c>
      <c r="AY40" s="18">
        <f>'Fixed Fee'!BH57</f>
        <v>0</v>
      </c>
      <c r="AZ40" s="18">
        <f>'Fixed Fee'!BI57</f>
        <v>0</v>
      </c>
      <c r="BA40" s="18">
        <f>'Fixed Fee'!BJ57</f>
        <v>0</v>
      </c>
      <c r="BB40" s="18">
        <f>'Fixed Fee'!BK57</f>
        <v>0</v>
      </c>
      <c r="BC40" s="18">
        <f>'Fixed Fee'!BL57</f>
        <v>0</v>
      </c>
      <c r="BD40" s="18">
        <f>'Fixed Fee'!BM57</f>
        <v>0</v>
      </c>
      <c r="BE40" s="18">
        <f>'Fixed Fee'!BN57</f>
        <v>0</v>
      </c>
      <c r="BF40" s="18">
        <f>'Fixed Fee'!BO57</f>
        <v>0</v>
      </c>
      <c r="BG40" s="18">
        <f>'Fixed Fee'!BP57</f>
        <v>0</v>
      </c>
      <c r="BH40" s="18">
        <f>'Fixed Fee'!BQ57</f>
        <v>0</v>
      </c>
      <c r="BI40" s="18">
        <f>'Fixed Fee'!BR57</f>
        <v>0</v>
      </c>
      <c r="BJ40" s="18">
        <f>'Fixed Fee'!BS57</f>
        <v>0</v>
      </c>
      <c r="BK40" s="18">
        <f>'Fixed Fee'!BT57</f>
        <v>0</v>
      </c>
      <c r="BL40" s="18">
        <f>'Fixed Fee'!BU57</f>
        <v>0</v>
      </c>
      <c r="BM40" s="18">
        <f>'Fixed Fee'!BV57</f>
        <v>0</v>
      </c>
      <c r="BN40" s="18">
        <f>'Fixed Fee'!BW57</f>
        <v>0</v>
      </c>
      <c r="BO40" s="18">
        <f>'Fixed Fee'!BX57</f>
        <v>0</v>
      </c>
      <c r="BP40" s="18">
        <f>'Fixed Fee'!BY57</f>
        <v>0</v>
      </c>
      <c r="BQ40" s="18">
        <f>'Fixed Fee'!BZ57</f>
        <v>0</v>
      </c>
      <c r="BR40" s="18">
        <f>'Fixed Fee'!CA57</f>
        <v>0</v>
      </c>
      <c r="BS40" s="18">
        <f>'Fixed Fee'!CB57</f>
        <v>0</v>
      </c>
      <c r="BT40" s="18">
        <f>'Fixed Fee'!CC57</f>
        <v>0</v>
      </c>
      <c r="BU40" s="18">
        <f>'Fixed Fee'!CD57</f>
        <v>0</v>
      </c>
      <c r="BV40" s="18">
        <f>'Fixed Fee'!CE57</f>
        <v>0</v>
      </c>
      <c r="BW40" s="18">
        <f>'Fixed Fee'!CF57</f>
        <v>0</v>
      </c>
      <c r="BX40" s="18">
        <f>'Fixed Fee'!CG57</f>
        <v>0</v>
      </c>
      <c r="BY40" s="18">
        <f>'Fixed Fee'!CH57</f>
        <v>0</v>
      </c>
    </row>
    <row r="41" spans="1:77" s="43" customFormat="1" ht="13" x14ac:dyDescent="0.45">
      <c r="A41" s="46">
        <f>'Fixed Fee'!C58</f>
        <v>0</v>
      </c>
      <c r="B41" s="18">
        <f>'Fixed Fee'!K58</f>
        <v>0</v>
      </c>
      <c r="C41" s="18">
        <f>'Fixed Fee'!L58</f>
        <v>0</v>
      </c>
      <c r="D41" s="18">
        <f>'Fixed Fee'!M58</f>
        <v>0</v>
      </c>
      <c r="E41" s="18">
        <f>'Fixed Fee'!N58</f>
        <v>0</v>
      </c>
      <c r="F41" s="18">
        <f>'Fixed Fee'!O58</f>
        <v>0</v>
      </c>
      <c r="G41" s="18">
        <f>'Fixed Fee'!P58</f>
        <v>0</v>
      </c>
      <c r="H41" s="18">
        <f>'Fixed Fee'!Q58</f>
        <v>0</v>
      </c>
      <c r="I41" s="18">
        <f>'Fixed Fee'!R58</f>
        <v>0</v>
      </c>
      <c r="J41" s="18">
        <f>'Fixed Fee'!S58</f>
        <v>0</v>
      </c>
      <c r="K41" s="18">
        <f>'Fixed Fee'!T58</f>
        <v>0</v>
      </c>
      <c r="L41" s="18">
        <f>'Fixed Fee'!U58</f>
        <v>0</v>
      </c>
      <c r="M41" s="18">
        <f>'Fixed Fee'!V58</f>
        <v>0</v>
      </c>
      <c r="N41" s="18">
        <f>'Fixed Fee'!W58</f>
        <v>0</v>
      </c>
      <c r="O41" s="18">
        <f>'Fixed Fee'!X58</f>
        <v>0</v>
      </c>
      <c r="P41" s="18">
        <f>'Fixed Fee'!Y58</f>
        <v>0</v>
      </c>
      <c r="Q41" s="18">
        <f>'Fixed Fee'!Z58</f>
        <v>0</v>
      </c>
      <c r="R41" s="18">
        <f>'Fixed Fee'!AA58</f>
        <v>0</v>
      </c>
      <c r="S41" s="18">
        <f>'Fixed Fee'!AB58</f>
        <v>0</v>
      </c>
      <c r="T41" s="18">
        <f>'Fixed Fee'!AC58</f>
        <v>0</v>
      </c>
      <c r="U41" s="18">
        <f>'Fixed Fee'!AD58</f>
        <v>0</v>
      </c>
      <c r="V41" s="18">
        <f>'Fixed Fee'!AE58</f>
        <v>0</v>
      </c>
      <c r="W41" s="18">
        <f>'Fixed Fee'!AF58</f>
        <v>0</v>
      </c>
      <c r="X41" s="18">
        <f>'Fixed Fee'!AG58</f>
        <v>0</v>
      </c>
      <c r="Y41" s="18">
        <f>'Fixed Fee'!AH58</f>
        <v>0</v>
      </c>
      <c r="Z41" s="18">
        <f>'Fixed Fee'!AI58</f>
        <v>0</v>
      </c>
      <c r="AA41" s="18">
        <f>'Fixed Fee'!AJ58</f>
        <v>0</v>
      </c>
      <c r="AB41" s="18">
        <f>'Fixed Fee'!AK58</f>
        <v>0</v>
      </c>
      <c r="AC41" s="18">
        <f>'Fixed Fee'!AL58</f>
        <v>0</v>
      </c>
      <c r="AD41" s="18">
        <f>'Fixed Fee'!AM58</f>
        <v>0</v>
      </c>
      <c r="AE41" s="18">
        <f>'Fixed Fee'!AN58</f>
        <v>0</v>
      </c>
      <c r="AF41" s="18">
        <f>'Fixed Fee'!AO58</f>
        <v>0</v>
      </c>
      <c r="AG41" s="18">
        <f>'Fixed Fee'!AP58</f>
        <v>0</v>
      </c>
      <c r="AH41" s="18">
        <f>'Fixed Fee'!AQ58</f>
        <v>0</v>
      </c>
      <c r="AI41" s="18">
        <f>'Fixed Fee'!AR58</f>
        <v>0</v>
      </c>
      <c r="AJ41" s="18">
        <f>'Fixed Fee'!AS58</f>
        <v>0</v>
      </c>
      <c r="AK41" s="18">
        <f>'Fixed Fee'!AT58</f>
        <v>0</v>
      </c>
      <c r="AL41" s="18">
        <f>'Fixed Fee'!AU58</f>
        <v>0</v>
      </c>
      <c r="AM41" s="18">
        <f>'Fixed Fee'!AV58</f>
        <v>0</v>
      </c>
      <c r="AN41" s="18">
        <f>'Fixed Fee'!AW58</f>
        <v>0</v>
      </c>
      <c r="AO41" s="18">
        <f>'Fixed Fee'!AX58</f>
        <v>0</v>
      </c>
      <c r="AP41" s="18">
        <f>'Fixed Fee'!AY58</f>
        <v>0</v>
      </c>
      <c r="AQ41" s="18">
        <f>'Fixed Fee'!AZ58</f>
        <v>0</v>
      </c>
      <c r="AR41" s="18">
        <f>'Fixed Fee'!BA58</f>
        <v>0</v>
      </c>
      <c r="AS41" s="18">
        <f>'Fixed Fee'!BB58</f>
        <v>0</v>
      </c>
      <c r="AT41" s="18">
        <f>'Fixed Fee'!BC58</f>
        <v>0</v>
      </c>
      <c r="AU41" s="18">
        <f>'Fixed Fee'!BD58</f>
        <v>0</v>
      </c>
      <c r="AV41" s="18">
        <f>'Fixed Fee'!BE58</f>
        <v>0</v>
      </c>
      <c r="AW41" s="18">
        <f>'Fixed Fee'!BF58</f>
        <v>0</v>
      </c>
      <c r="AX41" s="18">
        <f>'Fixed Fee'!BG58</f>
        <v>0</v>
      </c>
      <c r="AY41" s="18">
        <f>'Fixed Fee'!BH58</f>
        <v>0</v>
      </c>
      <c r="AZ41" s="18">
        <f>'Fixed Fee'!BI58</f>
        <v>0</v>
      </c>
      <c r="BA41" s="18">
        <f>'Fixed Fee'!BJ58</f>
        <v>0</v>
      </c>
      <c r="BB41" s="18">
        <f>'Fixed Fee'!BK58</f>
        <v>0</v>
      </c>
      <c r="BC41" s="18">
        <f>'Fixed Fee'!BL58</f>
        <v>0</v>
      </c>
      <c r="BD41" s="18">
        <f>'Fixed Fee'!BM58</f>
        <v>0</v>
      </c>
      <c r="BE41" s="18">
        <f>'Fixed Fee'!BN58</f>
        <v>0</v>
      </c>
      <c r="BF41" s="18">
        <f>'Fixed Fee'!BO58</f>
        <v>0</v>
      </c>
      <c r="BG41" s="18">
        <f>'Fixed Fee'!BP58</f>
        <v>0</v>
      </c>
      <c r="BH41" s="18">
        <f>'Fixed Fee'!BQ58</f>
        <v>0</v>
      </c>
      <c r="BI41" s="18">
        <f>'Fixed Fee'!BR58</f>
        <v>0</v>
      </c>
      <c r="BJ41" s="18">
        <f>'Fixed Fee'!BS58</f>
        <v>0</v>
      </c>
      <c r="BK41" s="18">
        <f>'Fixed Fee'!BT58</f>
        <v>0</v>
      </c>
      <c r="BL41" s="18">
        <f>'Fixed Fee'!BU58</f>
        <v>0</v>
      </c>
      <c r="BM41" s="18">
        <f>'Fixed Fee'!BV58</f>
        <v>0</v>
      </c>
      <c r="BN41" s="18">
        <f>'Fixed Fee'!BW58</f>
        <v>0</v>
      </c>
      <c r="BO41" s="18">
        <f>'Fixed Fee'!BX58</f>
        <v>0</v>
      </c>
      <c r="BP41" s="18">
        <f>'Fixed Fee'!BY58</f>
        <v>0</v>
      </c>
      <c r="BQ41" s="18">
        <f>'Fixed Fee'!BZ58</f>
        <v>0</v>
      </c>
      <c r="BR41" s="18">
        <f>'Fixed Fee'!CA58</f>
        <v>0</v>
      </c>
      <c r="BS41" s="18">
        <f>'Fixed Fee'!CB58</f>
        <v>0</v>
      </c>
      <c r="BT41" s="18">
        <f>'Fixed Fee'!CC58</f>
        <v>0</v>
      </c>
      <c r="BU41" s="18">
        <f>'Fixed Fee'!CD58</f>
        <v>0</v>
      </c>
      <c r="BV41" s="18">
        <f>'Fixed Fee'!CE58</f>
        <v>0</v>
      </c>
      <c r="BW41" s="18">
        <f>'Fixed Fee'!CF58</f>
        <v>0</v>
      </c>
      <c r="BX41" s="18">
        <f>'Fixed Fee'!CG58</f>
        <v>0</v>
      </c>
      <c r="BY41" s="18">
        <f>'Fixed Fee'!CH58</f>
        <v>0</v>
      </c>
    </row>
    <row r="42" spans="1:77" s="43" customFormat="1" ht="13" x14ac:dyDescent="0.45">
      <c r="A42" s="46">
        <f>'Fixed Fee'!C59</f>
        <v>0</v>
      </c>
      <c r="B42" s="18">
        <f>'Fixed Fee'!K59</f>
        <v>0</v>
      </c>
      <c r="C42" s="18">
        <f>'Fixed Fee'!L59</f>
        <v>0</v>
      </c>
      <c r="D42" s="18">
        <f>'Fixed Fee'!M59</f>
        <v>0</v>
      </c>
      <c r="E42" s="18">
        <f>'Fixed Fee'!N59</f>
        <v>0</v>
      </c>
      <c r="F42" s="18">
        <f>'Fixed Fee'!O59</f>
        <v>0</v>
      </c>
      <c r="G42" s="18">
        <f>'Fixed Fee'!P59</f>
        <v>0</v>
      </c>
      <c r="H42" s="18">
        <f>'Fixed Fee'!Q59</f>
        <v>0</v>
      </c>
      <c r="I42" s="18">
        <f>'Fixed Fee'!R59</f>
        <v>0</v>
      </c>
      <c r="J42" s="18">
        <f>'Fixed Fee'!S59</f>
        <v>0</v>
      </c>
      <c r="K42" s="18">
        <f>'Fixed Fee'!T59</f>
        <v>0</v>
      </c>
      <c r="L42" s="18">
        <f>'Fixed Fee'!U59</f>
        <v>0</v>
      </c>
      <c r="M42" s="18">
        <f>'Fixed Fee'!V59</f>
        <v>0</v>
      </c>
      <c r="N42" s="18">
        <f>'Fixed Fee'!W59</f>
        <v>0</v>
      </c>
      <c r="O42" s="18">
        <f>'Fixed Fee'!X59</f>
        <v>0</v>
      </c>
      <c r="P42" s="18">
        <f>'Fixed Fee'!Y59</f>
        <v>0</v>
      </c>
      <c r="Q42" s="18">
        <f>'Fixed Fee'!Z59</f>
        <v>0</v>
      </c>
      <c r="R42" s="18">
        <f>'Fixed Fee'!AA59</f>
        <v>0</v>
      </c>
      <c r="S42" s="18">
        <f>'Fixed Fee'!AB59</f>
        <v>0</v>
      </c>
      <c r="T42" s="18">
        <f>'Fixed Fee'!AC59</f>
        <v>0</v>
      </c>
      <c r="U42" s="18">
        <f>'Fixed Fee'!AD59</f>
        <v>0</v>
      </c>
      <c r="V42" s="18">
        <f>'Fixed Fee'!AE59</f>
        <v>0</v>
      </c>
      <c r="W42" s="18">
        <f>'Fixed Fee'!AF59</f>
        <v>0</v>
      </c>
      <c r="X42" s="18">
        <f>'Fixed Fee'!AG59</f>
        <v>0</v>
      </c>
      <c r="Y42" s="18">
        <f>'Fixed Fee'!AH59</f>
        <v>0</v>
      </c>
      <c r="Z42" s="18">
        <f>'Fixed Fee'!AI59</f>
        <v>0</v>
      </c>
      <c r="AA42" s="18">
        <f>'Fixed Fee'!AJ59</f>
        <v>0</v>
      </c>
      <c r="AB42" s="18">
        <f>'Fixed Fee'!AK59</f>
        <v>0</v>
      </c>
      <c r="AC42" s="18">
        <f>'Fixed Fee'!AL59</f>
        <v>0</v>
      </c>
      <c r="AD42" s="18">
        <f>'Fixed Fee'!AM59</f>
        <v>0</v>
      </c>
      <c r="AE42" s="18">
        <f>'Fixed Fee'!AN59</f>
        <v>0</v>
      </c>
      <c r="AF42" s="18">
        <f>'Fixed Fee'!AO59</f>
        <v>0</v>
      </c>
      <c r="AG42" s="18">
        <f>'Fixed Fee'!AP59</f>
        <v>0</v>
      </c>
      <c r="AH42" s="18">
        <f>'Fixed Fee'!AQ59</f>
        <v>0</v>
      </c>
      <c r="AI42" s="18">
        <f>'Fixed Fee'!AR59</f>
        <v>0</v>
      </c>
      <c r="AJ42" s="18">
        <f>'Fixed Fee'!AS59</f>
        <v>0</v>
      </c>
      <c r="AK42" s="18">
        <f>'Fixed Fee'!AT59</f>
        <v>0</v>
      </c>
      <c r="AL42" s="18">
        <f>'Fixed Fee'!AU59</f>
        <v>0</v>
      </c>
      <c r="AM42" s="18">
        <f>'Fixed Fee'!AV59</f>
        <v>0</v>
      </c>
      <c r="AN42" s="18">
        <f>'Fixed Fee'!AW59</f>
        <v>0</v>
      </c>
      <c r="AO42" s="18">
        <f>'Fixed Fee'!AX59</f>
        <v>0</v>
      </c>
      <c r="AP42" s="18">
        <f>'Fixed Fee'!AY59</f>
        <v>0</v>
      </c>
      <c r="AQ42" s="18">
        <f>'Fixed Fee'!AZ59</f>
        <v>0</v>
      </c>
      <c r="AR42" s="18">
        <f>'Fixed Fee'!BA59</f>
        <v>0</v>
      </c>
      <c r="AS42" s="18">
        <f>'Fixed Fee'!BB59</f>
        <v>0</v>
      </c>
      <c r="AT42" s="18">
        <f>'Fixed Fee'!BC59</f>
        <v>0</v>
      </c>
      <c r="AU42" s="18">
        <f>'Fixed Fee'!BD59</f>
        <v>0</v>
      </c>
      <c r="AV42" s="18">
        <f>'Fixed Fee'!BE59</f>
        <v>0</v>
      </c>
      <c r="AW42" s="18">
        <f>'Fixed Fee'!BF59</f>
        <v>0</v>
      </c>
      <c r="AX42" s="18">
        <f>'Fixed Fee'!BG59</f>
        <v>0</v>
      </c>
      <c r="AY42" s="18">
        <f>'Fixed Fee'!BH59</f>
        <v>0</v>
      </c>
      <c r="AZ42" s="18">
        <f>'Fixed Fee'!BI59</f>
        <v>0</v>
      </c>
      <c r="BA42" s="18">
        <f>'Fixed Fee'!BJ59</f>
        <v>0</v>
      </c>
      <c r="BB42" s="18">
        <f>'Fixed Fee'!BK59</f>
        <v>0</v>
      </c>
      <c r="BC42" s="18">
        <f>'Fixed Fee'!BL59</f>
        <v>0</v>
      </c>
      <c r="BD42" s="18">
        <f>'Fixed Fee'!BM59</f>
        <v>0</v>
      </c>
      <c r="BE42" s="18">
        <f>'Fixed Fee'!BN59</f>
        <v>0</v>
      </c>
      <c r="BF42" s="18">
        <f>'Fixed Fee'!BO59</f>
        <v>0</v>
      </c>
      <c r="BG42" s="18">
        <f>'Fixed Fee'!BP59</f>
        <v>0</v>
      </c>
      <c r="BH42" s="18">
        <f>'Fixed Fee'!BQ59</f>
        <v>0</v>
      </c>
      <c r="BI42" s="18">
        <f>'Fixed Fee'!BR59</f>
        <v>0</v>
      </c>
      <c r="BJ42" s="18">
        <f>'Fixed Fee'!BS59</f>
        <v>0</v>
      </c>
      <c r="BK42" s="18">
        <f>'Fixed Fee'!BT59</f>
        <v>0</v>
      </c>
      <c r="BL42" s="18">
        <f>'Fixed Fee'!BU59</f>
        <v>0</v>
      </c>
      <c r="BM42" s="18">
        <f>'Fixed Fee'!BV59</f>
        <v>0</v>
      </c>
      <c r="BN42" s="18">
        <f>'Fixed Fee'!BW59</f>
        <v>0</v>
      </c>
      <c r="BO42" s="18">
        <f>'Fixed Fee'!BX59</f>
        <v>0</v>
      </c>
      <c r="BP42" s="18">
        <f>'Fixed Fee'!BY59</f>
        <v>0</v>
      </c>
      <c r="BQ42" s="18">
        <f>'Fixed Fee'!BZ59</f>
        <v>0</v>
      </c>
      <c r="BR42" s="18">
        <f>'Fixed Fee'!CA59</f>
        <v>0</v>
      </c>
      <c r="BS42" s="18">
        <f>'Fixed Fee'!CB59</f>
        <v>0</v>
      </c>
      <c r="BT42" s="18">
        <f>'Fixed Fee'!CC59</f>
        <v>0</v>
      </c>
      <c r="BU42" s="18">
        <f>'Fixed Fee'!CD59</f>
        <v>0</v>
      </c>
      <c r="BV42" s="18">
        <f>'Fixed Fee'!CE59</f>
        <v>0</v>
      </c>
      <c r="BW42" s="18">
        <f>'Fixed Fee'!CF59</f>
        <v>0</v>
      </c>
      <c r="BX42" s="18">
        <f>'Fixed Fee'!CG59</f>
        <v>0</v>
      </c>
      <c r="BY42" s="18">
        <f>'Fixed Fee'!CH59</f>
        <v>0</v>
      </c>
    </row>
    <row r="43" spans="1:77" s="43" customFormat="1" ht="13" x14ac:dyDescent="0.45">
      <c r="A43" s="46">
        <f>'Fixed Fee'!C60</f>
        <v>0</v>
      </c>
      <c r="B43" s="18">
        <f>'Fixed Fee'!K60</f>
        <v>0</v>
      </c>
      <c r="C43" s="18">
        <f>'Fixed Fee'!L60</f>
        <v>0</v>
      </c>
      <c r="D43" s="18">
        <f>'Fixed Fee'!M60</f>
        <v>0</v>
      </c>
      <c r="E43" s="18">
        <f>'Fixed Fee'!N60</f>
        <v>0</v>
      </c>
      <c r="F43" s="18">
        <f>'Fixed Fee'!O60</f>
        <v>0</v>
      </c>
      <c r="G43" s="18">
        <f>'Fixed Fee'!P60</f>
        <v>0</v>
      </c>
      <c r="H43" s="18">
        <f>'Fixed Fee'!Q60</f>
        <v>0</v>
      </c>
      <c r="I43" s="18">
        <f>'Fixed Fee'!R60</f>
        <v>0</v>
      </c>
      <c r="J43" s="18">
        <f>'Fixed Fee'!S60</f>
        <v>0</v>
      </c>
      <c r="K43" s="18">
        <f>'Fixed Fee'!T60</f>
        <v>0</v>
      </c>
      <c r="L43" s="18">
        <f>'Fixed Fee'!U60</f>
        <v>0</v>
      </c>
      <c r="M43" s="18">
        <f>'Fixed Fee'!V60</f>
        <v>0</v>
      </c>
      <c r="N43" s="18">
        <f>'Fixed Fee'!W60</f>
        <v>0</v>
      </c>
      <c r="O43" s="18">
        <f>'Fixed Fee'!X60</f>
        <v>0</v>
      </c>
      <c r="P43" s="18">
        <f>'Fixed Fee'!Y60</f>
        <v>0</v>
      </c>
      <c r="Q43" s="18">
        <f>'Fixed Fee'!Z60</f>
        <v>0</v>
      </c>
      <c r="R43" s="18">
        <f>'Fixed Fee'!AA60</f>
        <v>0</v>
      </c>
      <c r="S43" s="18">
        <f>'Fixed Fee'!AB60</f>
        <v>0</v>
      </c>
      <c r="T43" s="18">
        <f>'Fixed Fee'!AC60</f>
        <v>0</v>
      </c>
      <c r="U43" s="18">
        <f>'Fixed Fee'!AD60</f>
        <v>0</v>
      </c>
      <c r="V43" s="18">
        <f>'Fixed Fee'!AE60</f>
        <v>0</v>
      </c>
      <c r="W43" s="18">
        <f>'Fixed Fee'!AF60</f>
        <v>0</v>
      </c>
      <c r="X43" s="18">
        <f>'Fixed Fee'!AG60</f>
        <v>0</v>
      </c>
      <c r="Y43" s="18">
        <f>'Fixed Fee'!AH60</f>
        <v>0</v>
      </c>
      <c r="Z43" s="18">
        <f>'Fixed Fee'!AI60</f>
        <v>0</v>
      </c>
      <c r="AA43" s="18">
        <f>'Fixed Fee'!AJ60</f>
        <v>0</v>
      </c>
      <c r="AB43" s="18">
        <f>'Fixed Fee'!AK60</f>
        <v>0</v>
      </c>
      <c r="AC43" s="18">
        <f>'Fixed Fee'!AL60</f>
        <v>0</v>
      </c>
      <c r="AD43" s="18">
        <f>'Fixed Fee'!AM60</f>
        <v>0</v>
      </c>
      <c r="AE43" s="18">
        <f>'Fixed Fee'!AN60</f>
        <v>0</v>
      </c>
      <c r="AF43" s="18">
        <f>'Fixed Fee'!AO60</f>
        <v>0</v>
      </c>
      <c r="AG43" s="18">
        <f>'Fixed Fee'!AP60</f>
        <v>0</v>
      </c>
      <c r="AH43" s="18">
        <f>'Fixed Fee'!AQ60</f>
        <v>0</v>
      </c>
      <c r="AI43" s="18">
        <f>'Fixed Fee'!AR60</f>
        <v>0</v>
      </c>
      <c r="AJ43" s="18">
        <f>'Fixed Fee'!AS60</f>
        <v>0</v>
      </c>
      <c r="AK43" s="18">
        <f>'Fixed Fee'!AT60</f>
        <v>0</v>
      </c>
      <c r="AL43" s="18">
        <f>'Fixed Fee'!AU60</f>
        <v>0</v>
      </c>
      <c r="AM43" s="18">
        <f>'Fixed Fee'!AV60</f>
        <v>0</v>
      </c>
      <c r="AN43" s="18">
        <f>'Fixed Fee'!AW60</f>
        <v>0</v>
      </c>
      <c r="AO43" s="18">
        <f>'Fixed Fee'!AX60</f>
        <v>0</v>
      </c>
      <c r="AP43" s="18">
        <f>'Fixed Fee'!AY60</f>
        <v>0</v>
      </c>
      <c r="AQ43" s="18">
        <f>'Fixed Fee'!AZ60</f>
        <v>0</v>
      </c>
      <c r="AR43" s="18">
        <f>'Fixed Fee'!BA60</f>
        <v>0</v>
      </c>
      <c r="AS43" s="18">
        <f>'Fixed Fee'!BB60</f>
        <v>0</v>
      </c>
      <c r="AT43" s="18">
        <f>'Fixed Fee'!BC60</f>
        <v>0</v>
      </c>
      <c r="AU43" s="18">
        <f>'Fixed Fee'!BD60</f>
        <v>0</v>
      </c>
      <c r="AV43" s="18">
        <f>'Fixed Fee'!BE60</f>
        <v>0</v>
      </c>
      <c r="AW43" s="18">
        <f>'Fixed Fee'!BF60</f>
        <v>0</v>
      </c>
      <c r="AX43" s="18">
        <f>'Fixed Fee'!BG60</f>
        <v>0</v>
      </c>
      <c r="AY43" s="18">
        <f>'Fixed Fee'!BH60</f>
        <v>0</v>
      </c>
      <c r="AZ43" s="18">
        <f>'Fixed Fee'!BI60</f>
        <v>0</v>
      </c>
      <c r="BA43" s="18">
        <f>'Fixed Fee'!BJ60</f>
        <v>0</v>
      </c>
      <c r="BB43" s="18">
        <f>'Fixed Fee'!BK60</f>
        <v>0</v>
      </c>
      <c r="BC43" s="18">
        <f>'Fixed Fee'!BL60</f>
        <v>0</v>
      </c>
      <c r="BD43" s="18">
        <f>'Fixed Fee'!BM60</f>
        <v>0</v>
      </c>
      <c r="BE43" s="18">
        <f>'Fixed Fee'!BN60</f>
        <v>0</v>
      </c>
      <c r="BF43" s="18">
        <f>'Fixed Fee'!BO60</f>
        <v>0</v>
      </c>
      <c r="BG43" s="18">
        <f>'Fixed Fee'!BP60</f>
        <v>0</v>
      </c>
      <c r="BH43" s="18">
        <f>'Fixed Fee'!BQ60</f>
        <v>0</v>
      </c>
      <c r="BI43" s="18">
        <f>'Fixed Fee'!BR60</f>
        <v>0</v>
      </c>
      <c r="BJ43" s="18">
        <f>'Fixed Fee'!BS60</f>
        <v>0</v>
      </c>
      <c r="BK43" s="18">
        <f>'Fixed Fee'!BT60</f>
        <v>0</v>
      </c>
      <c r="BL43" s="18">
        <f>'Fixed Fee'!BU60</f>
        <v>0</v>
      </c>
      <c r="BM43" s="18">
        <f>'Fixed Fee'!BV60</f>
        <v>0</v>
      </c>
      <c r="BN43" s="18">
        <f>'Fixed Fee'!BW60</f>
        <v>0</v>
      </c>
      <c r="BO43" s="18">
        <f>'Fixed Fee'!BX60</f>
        <v>0</v>
      </c>
      <c r="BP43" s="18">
        <f>'Fixed Fee'!BY60</f>
        <v>0</v>
      </c>
      <c r="BQ43" s="18">
        <f>'Fixed Fee'!BZ60</f>
        <v>0</v>
      </c>
      <c r="BR43" s="18">
        <f>'Fixed Fee'!CA60</f>
        <v>0</v>
      </c>
      <c r="BS43" s="18">
        <f>'Fixed Fee'!CB60</f>
        <v>0</v>
      </c>
      <c r="BT43" s="18">
        <f>'Fixed Fee'!CC60</f>
        <v>0</v>
      </c>
      <c r="BU43" s="18">
        <f>'Fixed Fee'!CD60</f>
        <v>0</v>
      </c>
      <c r="BV43" s="18">
        <f>'Fixed Fee'!CE60</f>
        <v>0</v>
      </c>
      <c r="BW43" s="18">
        <f>'Fixed Fee'!CF60</f>
        <v>0</v>
      </c>
      <c r="BX43" s="18">
        <f>'Fixed Fee'!CG60</f>
        <v>0</v>
      </c>
      <c r="BY43" s="18">
        <f>'Fixed Fee'!CH60</f>
        <v>0</v>
      </c>
    </row>
    <row r="44" spans="1:77" s="43" customFormat="1" ht="13" x14ac:dyDescent="0.45">
      <c r="A44" s="46">
        <f>'Fixed Fee'!C61</f>
        <v>0</v>
      </c>
      <c r="B44" s="18">
        <f>'Fixed Fee'!K61</f>
        <v>0</v>
      </c>
      <c r="C44" s="18">
        <f>'Fixed Fee'!L61</f>
        <v>0</v>
      </c>
      <c r="D44" s="18">
        <f>'Fixed Fee'!M61</f>
        <v>0</v>
      </c>
      <c r="E44" s="18">
        <f>'Fixed Fee'!N61</f>
        <v>0</v>
      </c>
      <c r="F44" s="18">
        <f>'Fixed Fee'!O61</f>
        <v>0</v>
      </c>
      <c r="G44" s="18">
        <f>'Fixed Fee'!P61</f>
        <v>0</v>
      </c>
      <c r="H44" s="18">
        <f>'Fixed Fee'!Q61</f>
        <v>0</v>
      </c>
      <c r="I44" s="18">
        <f>'Fixed Fee'!R61</f>
        <v>0</v>
      </c>
      <c r="J44" s="18">
        <f>'Fixed Fee'!S61</f>
        <v>0</v>
      </c>
      <c r="K44" s="18">
        <f>'Fixed Fee'!T61</f>
        <v>0</v>
      </c>
      <c r="L44" s="18">
        <f>'Fixed Fee'!U61</f>
        <v>0</v>
      </c>
      <c r="M44" s="18">
        <f>'Fixed Fee'!V61</f>
        <v>0</v>
      </c>
      <c r="N44" s="18">
        <f>'Fixed Fee'!W61</f>
        <v>0</v>
      </c>
      <c r="O44" s="18">
        <f>'Fixed Fee'!X61</f>
        <v>0</v>
      </c>
      <c r="P44" s="18">
        <f>'Fixed Fee'!Y61</f>
        <v>0</v>
      </c>
      <c r="Q44" s="18">
        <f>'Fixed Fee'!Z61</f>
        <v>0</v>
      </c>
      <c r="R44" s="18">
        <f>'Fixed Fee'!AA61</f>
        <v>0</v>
      </c>
      <c r="S44" s="18">
        <f>'Fixed Fee'!AB61</f>
        <v>0</v>
      </c>
      <c r="T44" s="18">
        <f>'Fixed Fee'!AC61</f>
        <v>0</v>
      </c>
      <c r="U44" s="18">
        <f>'Fixed Fee'!AD61</f>
        <v>0</v>
      </c>
      <c r="V44" s="18">
        <f>'Fixed Fee'!AE61</f>
        <v>0</v>
      </c>
      <c r="W44" s="18">
        <f>'Fixed Fee'!AF61</f>
        <v>0</v>
      </c>
      <c r="X44" s="18">
        <f>'Fixed Fee'!AG61</f>
        <v>0</v>
      </c>
      <c r="Y44" s="18">
        <f>'Fixed Fee'!AH61</f>
        <v>0</v>
      </c>
      <c r="Z44" s="18">
        <f>'Fixed Fee'!AI61</f>
        <v>0</v>
      </c>
      <c r="AA44" s="18">
        <f>'Fixed Fee'!AJ61</f>
        <v>0</v>
      </c>
      <c r="AB44" s="18">
        <f>'Fixed Fee'!AK61</f>
        <v>0</v>
      </c>
      <c r="AC44" s="18">
        <f>'Fixed Fee'!AL61</f>
        <v>0</v>
      </c>
      <c r="AD44" s="18">
        <f>'Fixed Fee'!AM61</f>
        <v>0</v>
      </c>
      <c r="AE44" s="18">
        <f>'Fixed Fee'!AN61</f>
        <v>0</v>
      </c>
      <c r="AF44" s="18">
        <f>'Fixed Fee'!AO61</f>
        <v>0</v>
      </c>
      <c r="AG44" s="18">
        <f>'Fixed Fee'!AP61</f>
        <v>0</v>
      </c>
      <c r="AH44" s="18">
        <f>'Fixed Fee'!AQ61</f>
        <v>0</v>
      </c>
      <c r="AI44" s="18">
        <f>'Fixed Fee'!AR61</f>
        <v>0</v>
      </c>
      <c r="AJ44" s="18">
        <f>'Fixed Fee'!AS61</f>
        <v>0</v>
      </c>
      <c r="AK44" s="18">
        <f>'Fixed Fee'!AT61</f>
        <v>0</v>
      </c>
      <c r="AL44" s="18">
        <f>'Fixed Fee'!AU61</f>
        <v>0</v>
      </c>
      <c r="AM44" s="18">
        <f>'Fixed Fee'!AV61</f>
        <v>0</v>
      </c>
      <c r="AN44" s="18">
        <f>'Fixed Fee'!AW61</f>
        <v>0</v>
      </c>
      <c r="AO44" s="18">
        <f>'Fixed Fee'!AX61</f>
        <v>0</v>
      </c>
      <c r="AP44" s="18">
        <f>'Fixed Fee'!AY61</f>
        <v>0</v>
      </c>
      <c r="AQ44" s="18">
        <f>'Fixed Fee'!AZ61</f>
        <v>0</v>
      </c>
      <c r="AR44" s="18">
        <f>'Fixed Fee'!BA61</f>
        <v>0</v>
      </c>
      <c r="AS44" s="18">
        <f>'Fixed Fee'!BB61</f>
        <v>0</v>
      </c>
      <c r="AT44" s="18">
        <f>'Fixed Fee'!BC61</f>
        <v>0</v>
      </c>
      <c r="AU44" s="18">
        <f>'Fixed Fee'!BD61</f>
        <v>0</v>
      </c>
      <c r="AV44" s="18">
        <f>'Fixed Fee'!BE61</f>
        <v>0</v>
      </c>
      <c r="AW44" s="18">
        <f>'Fixed Fee'!BF61</f>
        <v>0</v>
      </c>
      <c r="AX44" s="18">
        <f>'Fixed Fee'!BG61</f>
        <v>0</v>
      </c>
      <c r="AY44" s="18">
        <f>'Fixed Fee'!BH61</f>
        <v>0</v>
      </c>
      <c r="AZ44" s="18">
        <f>'Fixed Fee'!BI61</f>
        <v>0</v>
      </c>
      <c r="BA44" s="18">
        <f>'Fixed Fee'!BJ61</f>
        <v>0</v>
      </c>
      <c r="BB44" s="18">
        <f>'Fixed Fee'!BK61</f>
        <v>0</v>
      </c>
      <c r="BC44" s="18">
        <f>'Fixed Fee'!BL61</f>
        <v>0</v>
      </c>
      <c r="BD44" s="18">
        <f>'Fixed Fee'!BM61</f>
        <v>0</v>
      </c>
      <c r="BE44" s="18">
        <f>'Fixed Fee'!BN61</f>
        <v>0</v>
      </c>
      <c r="BF44" s="18">
        <f>'Fixed Fee'!BO61</f>
        <v>0</v>
      </c>
      <c r="BG44" s="18">
        <f>'Fixed Fee'!BP61</f>
        <v>0</v>
      </c>
      <c r="BH44" s="18">
        <f>'Fixed Fee'!BQ61</f>
        <v>0</v>
      </c>
      <c r="BI44" s="18">
        <f>'Fixed Fee'!BR61</f>
        <v>0</v>
      </c>
      <c r="BJ44" s="18">
        <f>'Fixed Fee'!BS61</f>
        <v>0</v>
      </c>
      <c r="BK44" s="18">
        <f>'Fixed Fee'!BT61</f>
        <v>0</v>
      </c>
      <c r="BL44" s="18">
        <f>'Fixed Fee'!BU61</f>
        <v>0</v>
      </c>
      <c r="BM44" s="18">
        <f>'Fixed Fee'!BV61</f>
        <v>0</v>
      </c>
      <c r="BN44" s="18">
        <f>'Fixed Fee'!BW61</f>
        <v>0</v>
      </c>
      <c r="BO44" s="18">
        <f>'Fixed Fee'!BX61</f>
        <v>0</v>
      </c>
      <c r="BP44" s="18">
        <f>'Fixed Fee'!BY61</f>
        <v>0</v>
      </c>
      <c r="BQ44" s="18">
        <f>'Fixed Fee'!BZ61</f>
        <v>0</v>
      </c>
      <c r="BR44" s="18">
        <f>'Fixed Fee'!CA61</f>
        <v>0</v>
      </c>
      <c r="BS44" s="18">
        <f>'Fixed Fee'!CB61</f>
        <v>0</v>
      </c>
      <c r="BT44" s="18">
        <f>'Fixed Fee'!CC61</f>
        <v>0</v>
      </c>
      <c r="BU44" s="18">
        <f>'Fixed Fee'!CD61</f>
        <v>0</v>
      </c>
      <c r="BV44" s="18">
        <f>'Fixed Fee'!CE61</f>
        <v>0</v>
      </c>
      <c r="BW44" s="18">
        <f>'Fixed Fee'!CF61</f>
        <v>0</v>
      </c>
      <c r="BX44" s="18">
        <f>'Fixed Fee'!CG61</f>
        <v>0</v>
      </c>
      <c r="BY44" s="18">
        <f>'Fixed Fee'!CH61</f>
        <v>0</v>
      </c>
    </row>
    <row r="45" spans="1:77" s="43" customFormat="1" ht="13" x14ac:dyDescent="0.45">
      <c r="A45" s="46">
        <f>'Fixed Fee'!C62</f>
        <v>0</v>
      </c>
      <c r="B45" s="18">
        <f>'Fixed Fee'!K62</f>
        <v>0</v>
      </c>
      <c r="C45" s="18">
        <f>'Fixed Fee'!L62</f>
        <v>0</v>
      </c>
      <c r="D45" s="18">
        <f>'Fixed Fee'!M62</f>
        <v>0</v>
      </c>
      <c r="E45" s="18">
        <f>'Fixed Fee'!N62</f>
        <v>0</v>
      </c>
      <c r="F45" s="18">
        <f>'Fixed Fee'!O62</f>
        <v>0</v>
      </c>
      <c r="G45" s="18">
        <f>'Fixed Fee'!P62</f>
        <v>0</v>
      </c>
      <c r="H45" s="18">
        <f>'Fixed Fee'!Q62</f>
        <v>0</v>
      </c>
      <c r="I45" s="18">
        <f>'Fixed Fee'!R62</f>
        <v>0</v>
      </c>
      <c r="J45" s="18">
        <f>'Fixed Fee'!S62</f>
        <v>0</v>
      </c>
      <c r="K45" s="18">
        <f>'Fixed Fee'!T62</f>
        <v>0</v>
      </c>
      <c r="L45" s="18">
        <f>'Fixed Fee'!U62</f>
        <v>0</v>
      </c>
      <c r="M45" s="18">
        <f>'Fixed Fee'!V62</f>
        <v>0</v>
      </c>
      <c r="N45" s="18">
        <f>'Fixed Fee'!W62</f>
        <v>0</v>
      </c>
      <c r="O45" s="18">
        <f>'Fixed Fee'!X62</f>
        <v>0</v>
      </c>
      <c r="P45" s="18">
        <f>'Fixed Fee'!Y62</f>
        <v>0</v>
      </c>
      <c r="Q45" s="18">
        <f>'Fixed Fee'!Z62</f>
        <v>0</v>
      </c>
      <c r="R45" s="18">
        <f>'Fixed Fee'!AA62</f>
        <v>0</v>
      </c>
      <c r="S45" s="18">
        <f>'Fixed Fee'!AB62</f>
        <v>0</v>
      </c>
      <c r="T45" s="18">
        <f>'Fixed Fee'!AC62</f>
        <v>0</v>
      </c>
      <c r="U45" s="18">
        <f>'Fixed Fee'!AD62</f>
        <v>0</v>
      </c>
      <c r="V45" s="18">
        <f>'Fixed Fee'!AE62</f>
        <v>0</v>
      </c>
      <c r="W45" s="18">
        <f>'Fixed Fee'!AF62</f>
        <v>0</v>
      </c>
      <c r="X45" s="18">
        <f>'Fixed Fee'!AG62</f>
        <v>0</v>
      </c>
      <c r="Y45" s="18">
        <f>'Fixed Fee'!AH62</f>
        <v>0</v>
      </c>
      <c r="Z45" s="18">
        <f>'Fixed Fee'!AI62</f>
        <v>0</v>
      </c>
      <c r="AA45" s="18">
        <f>'Fixed Fee'!AJ62</f>
        <v>0</v>
      </c>
      <c r="AB45" s="18">
        <f>'Fixed Fee'!AK62</f>
        <v>0</v>
      </c>
      <c r="AC45" s="18">
        <f>'Fixed Fee'!AL62</f>
        <v>0</v>
      </c>
      <c r="AD45" s="18">
        <f>'Fixed Fee'!AM62</f>
        <v>0</v>
      </c>
      <c r="AE45" s="18">
        <f>'Fixed Fee'!AN62</f>
        <v>0</v>
      </c>
      <c r="AF45" s="18">
        <f>'Fixed Fee'!AO62</f>
        <v>0</v>
      </c>
      <c r="AG45" s="18">
        <f>'Fixed Fee'!AP62</f>
        <v>0</v>
      </c>
      <c r="AH45" s="18">
        <f>'Fixed Fee'!AQ62</f>
        <v>0</v>
      </c>
      <c r="AI45" s="18">
        <f>'Fixed Fee'!AR62</f>
        <v>0</v>
      </c>
      <c r="AJ45" s="18">
        <f>'Fixed Fee'!AS62</f>
        <v>0</v>
      </c>
      <c r="AK45" s="18">
        <f>'Fixed Fee'!AT62</f>
        <v>0</v>
      </c>
      <c r="AL45" s="18">
        <f>'Fixed Fee'!AU62</f>
        <v>0</v>
      </c>
      <c r="AM45" s="18">
        <f>'Fixed Fee'!AV62</f>
        <v>0</v>
      </c>
      <c r="AN45" s="18">
        <f>'Fixed Fee'!AW62</f>
        <v>0</v>
      </c>
      <c r="AO45" s="18">
        <f>'Fixed Fee'!AX62</f>
        <v>0</v>
      </c>
      <c r="AP45" s="18">
        <f>'Fixed Fee'!AY62</f>
        <v>0</v>
      </c>
      <c r="AQ45" s="18">
        <f>'Fixed Fee'!AZ62</f>
        <v>0</v>
      </c>
      <c r="AR45" s="18">
        <f>'Fixed Fee'!BA62</f>
        <v>0</v>
      </c>
      <c r="AS45" s="18">
        <f>'Fixed Fee'!BB62</f>
        <v>0</v>
      </c>
      <c r="AT45" s="18">
        <f>'Fixed Fee'!BC62</f>
        <v>0</v>
      </c>
      <c r="AU45" s="18">
        <f>'Fixed Fee'!BD62</f>
        <v>0</v>
      </c>
      <c r="AV45" s="18">
        <f>'Fixed Fee'!BE62</f>
        <v>0</v>
      </c>
      <c r="AW45" s="18">
        <f>'Fixed Fee'!BF62</f>
        <v>0</v>
      </c>
      <c r="AX45" s="18">
        <f>'Fixed Fee'!BG62</f>
        <v>0</v>
      </c>
      <c r="AY45" s="18">
        <f>'Fixed Fee'!BH62</f>
        <v>0</v>
      </c>
      <c r="AZ45" s="18">
        <f>'Fixed Fee'!BI62</f>
        <v>0</v>
      </c>
      <c r="BA45" s="18">
        <f>'Fixed Fee'!BJ62</f>
        <v>0</v>
      </c>
      <c r="BB45" s="18">
        <f>'Fixed Fee'!BK62</f>
        <v>0</v>
      </c>
      <c r="BC45" s="18">
        <f>'Fixed Fee'!BL62</f>
        <v>0</v>
      </c>
      <c r="BD45" s="18">
        <f>'Fixed Fee'!BM62</f>
        <v>0</v>
      </c>
      <c r="BE45" s="18">
        <f>'Fixed Fee'!BN62</f>
        <v>0</v>
      </c>
      <c r="BF45" s="18">
        <f>'Fixed Fee'!BO62</f>
        <v>0</v>
      </c>
      <c r="BG45" s="18">
        <f>'Fixed Fee'!BP62</f>
        <v>0</v>
      </c>
      <c r="BH45" s="18">
        <f>'Fixed Fee'!BQ62</f>
        <v>0</v>
      </c>
      <c r="BI45" s="18">
        <f>'Fixed Fee'!BR62</f>
        <v>0</v>
      </c>
      <c r="BJ45" s="18">
        <f>'Fixed Fee'!BS62</f>
        <v>0</v>
      </c>
      <c r="BK45" s="18">
        <f>'Fixed Fee'!BT62</f>
        <v>0</v>
      </c>
      <c r="BL45" s="18">
        <f>'Fixed Fee'!BU62</f>
        <v>0</v>
      </c>
      <c r="BM45" s="18">
        <f>'Fixed Fee'!BV62</f>
        <v>0</v>
      </c>
      <c r="BN45" s="18">
        <f>'Fixed Fee'!BW62</f>
        <v>0</v>
      </c>
      <c r="BO45" s="18">
        <f>'Fixed Fee'!BX62</f>
        <v>0</v>
      </c>
      <c r="BP45" s="18">
        <f>'Fixed Fee'!BY62</f>
        <v>0</v>
      </c>
      <c r="BQ45" s="18">
        <f>'Fixed Fee'!BZ62</f>
        <v>0</v>
      </c>
      <c r="BR45" s="18">
        <f>'Fixed Fee'!CA62</f>
        <v>0</v>
      </c>
      <c r="BS45" s="18">
        <f>'Fixed Fee'!CB62</f>
        <v>0</v>
      </c>
      <c r="BT45" s="18">
        <f>'Fixed Fee'!CC62</f>
        <v>0</v>
      </c>
      <c r="BU45" s="18">
        <f>'Fixed Fee'!CD62</f>
        <v>0</v>
      </c>
      <c r="BV45" s="18">
        <f>'Fixed Fee'!CE62</f>
        <v>0</v>
      </c>
      <c r="BW45" s="18">
        <f>'Fixed Fee'!CF62</f>
        <v>0</v>
      </c>
      <c r="BX45" s="18">
        <f>'Fixed Fee'!CG62</f>
        <v>0</v>
      </c>
      <c r="BY45" s="18">
        <f>'Fixed Fee'!CH62</f>
        <v>0</v>
      </c>
    </row>
    <row r="46" spans="1:77" s="43" customFormat="1" ht="13" x14ac:dyDescent="0.45">
      <c r="A46" s="46">
        <f>'Fixed Fee'!C63</f>
        <v>0</v>
      </c>
      <c r="B46" s="18">
        <f>'Fixed Fee'!K63</f>
        <v>0</v>
      </c>
      <c r="C46" s="18">
        <f>'Fixed Fee'!L63</f>
        <v>0</v>
      </c>
      <c r="D46" s="18">
        <f>'Fixed Fee'!M63</f>
        <v>0</v>
      </c>
      <c r="E46" s="18">
        <f>'Fixed Fee'!N63</f>
        <v>0</v>
      </c>
      <c r="F46" s="18">
        <f>'Fixed Fee'!O63</f>
        <v>0</v>
      </c>
      <c r="G46" s="18">
        <f>'Fixed Fee'!P63</f>
        <v>0</v>
      </c>
      <c r="H46" s="18">
        <f>'Fixed Fee'!Q63</f>
        <v>0</v>
      </c>
      <c r="I46" s="18">
        <f>'Fixed Fee'!R63</f>
        <v>0</v>
      </c>
      <c r="J46" s="18">
        <f>'Fixed Fee'!S63</f>
        <v>0</v>
      </c>
      <c r="K46" s="18">
        <f>'Fixed Fee'!T63</f>
        <v>0</v>
      </c>
      <c r="L46" s="18">
        <f>'Fixed Fee'!U63</f>
        <v>0</v>
      </c>
      <c r="M46" s="18">
        <f>'Fixed Fee'!V63</f>
        <v>0</v>
      </c>
      <c r="N46" s="18">
        <f>'Fixed Fee'!W63</f>
        <v>0</v>
      </c>
      <c r="O46" s="18">
        <f>'Fixed Fee'!X63</f>
        <v>0</v>
      </c>
      <c r="P46" s="18">
        <f>'Fixed Fee'!Y63</f>
        <v>0</v>
      </c>
      <c r="Q46" s="18">
        <f>'Fixed Fee'!Z63</f>
        <v>0</v>
      </c>
      <c r="R46" s="18">
        <f>'Fixed Fee'!AA63</f>
        <v>0</v>
      </c>
      <c r="S46" s="18">
        <f>'Fixed Fee'!AB63</f>
        <v>0</v>
      </c>
      <c r="T46" s="18">
        <f>'Fixed Fee'!AC63</f>
        <v>0</v>
      </c>
      <c r="U46" s="18">
        <f>'Fixed Fee'!AD63</f>
        <v>0</v>
      </c>
      <c r="V46" s="18">
        <f>'Fixed Fee'!AE63</f>
        <v>0</v>
      </c>
      <c r="W46" s="18">
        <f>'Fixed Fee'!AF63</f>
        <v>0</v>
      </c>
      <c r="X46" s="18">
        <f>'Fixed Fee'!AG63</f>
        <v>0</v>
      </c>
      <c r="Y46" s="18">
        <f>'Fixed Fee'!AH63</f>
        <v>0</v>
      </c>
      <c r="Z46" s="18">
        <f>'Fixed Fee'!AI63</f>
        <v>0</v>
      </c>
      <c r="AA46" s="18">
        <f>'Fixed Fee'!AJ63</f>
        <v>0</v>
      </c>
      <c r="AB46" s="18">
        <f>'Fixed Fee'!AK63</f>
        <v>0</v>
      </c>
      <c r="AC46" s="18">
        <f>'Fixed Fee'!AL63</f>
        <v>0</v>
      </c>
      <c r="AD46" s="18">
        <f>'Fixed Fee'!AM63</f>
        <v>0</v>
      </c>
      <c r="AE46" s="18">
        <f>'Fixed Fee'!AN63</f>
        <v>0</v>
      </c>
      <c r="AF46" s="18">
        <f>'Fixed Fee'!AO63</f>
        <v>0</v>
      </c>
      <c r="AG46" s="18">
        <f>'Fixed Fee'!AP63</f>
        <v>0</v>
      </c>
      <c r="AH46" s="18">
        <f>'Fixed Fee'!AQ63</f>
        <v>0</v>
      </c>
      <c r="AI46" s="18">
        <f>'Fixed Fee'!AR63</f>
        <v>0</v>
      </c>
      <c r="AJ46" s="18">
        <f>'Fixed Fee'!AS63</f>
        <v>0</v>
      </c>
      <c r="AK46" s="18">
        <f>'Fixed Fee'!AT63</f>
        <v>0</v>
      </c>
      <c r="AL46" s="18">
        <f>'Fixed Fee'!AU63</f>
        <v>0</v>
      </c>
      <c r="AM46" s="18">
        <f>'Fixed Fee'!AV63</f>
        <v>0</v>
      </c>
      <c r="AN46" s="18">
        <f>'Fixed Fee'!AW63</f>
        <v>0</v>
      </c>
      <c r="AO46" s="18">
        <f>'Fixed Fee'!AX63</f>
        <v>0</v>
      </c>
      <c r="AP46" s="18">
        <f>'Fixed Fee'!AY63</f>
        <v>0</v>
      </c>
      <c r="AQ46" s="18">
        <f>'Fixed Fee'!AZ63</f>
        <v>0</v>
      </c>
      <c r="AR46" s="18">
        <f>'Fixed Fee'!BA63</f>
        <v>0</v>
      </c>
      <c r="AS46" s="18">
        <f>'Fixed Fee'!BB63</f>
        <v>0</v>
      </c>
      <c r="AT46" s="18">
        <f>'Fixed Fee'!BC63</f>
        <v>0</v>
      </c>
      <c r="AU46" s="18">
        <f>'Fixed Fee'!BD63</f>
        <v>0</v>
      </c>
      <c r="AV46" s="18">
        <f>'Fixed Fee'!BE63</f>
        <v>0</v>
      </c>
      <c r="AW46" s="18">
        <f>'Fixed Fee'!BF63</f>
        <v>0</v>
      </c>
      <c r="AX46" s="18">
        <f>'Fixed Fee'!BG63</f>
        <v>0</v>
      </c>
      <c r="AY46" s="18">
        <f>'Fixed Fee'!BH63</f>
        <v>0</v>
      </c>
      <c r="AZ46" s="18">
        <f>'Fixed Fee'!BI63</f>
        <v>0</v>
      </c>
      <c r="BA46" s="18">
        <f>'Fixed Fee'!BJ63</f>
        <v>0</v>
      </c>
      <c r="BB46" s="18">
        <f>'Fixed Fee'!BK63</f>
        <v>0</v>
      </c>
      <c r="BC46" s="18">
        <f>'Fixed Fee'!BL63</f>
        <v>0</v>
      </c>
      <c r="BD46" s="18">
        <f>'Fixed Fee'!BM63</f>
        <v>0</v>
      </c>
      <c r="BE46" s="18">
        <f>'Fixed Fee'!BN63</f>
        <v>0</v>
      </c>
      <c r="BF46" s="18">
        <f>'Fixed Fee'!BO63</f>
        <v>0</v>
      </c>
      <c r="BG46" s="18">
        <f>'Fixed Fee'!BP63</f>
        <v>0</v>
      </c>
      <c r="BH46" s="18">
        <f>'Fixed Fee'!BQ63</f>
        <v>0</v>
      </c>
      <c r="BI46" s="18">
        <f>'Fixed Fee'!BR63</f>
        <v>0</v>
      </c>
      <c r="BJ46" s="18">
        <f>'Fixed Fee'!BS63</f>
        <v>0</v>
      </c>
      <c r="BK46" s="18">
        <f>'Fixed Fee'!BT63</f>
        <v>0</v>
      </c>
      <c r="BL46" s="18">
        <f>'Fixed Fee'!BU63</f>
        <v>0</v>
      </c>
      <c r="BM46" s="18">
        <f>'Fixed Fee'!BV63</f>
        <v>0</v>
      </c>
      <c r="BN46" s="18">
        <f>'Fixed Fee'!BW63</f>
        <v>0</v>
      </c>
      <c r="BO46" s="18">
        <f>'Fixed Fee'!BX63</f>
        <v>0</v>
      </c>
      <c r="BP46" s="18">
        <f>'Fixed Fee'!BY63</f>
        <v>0</v>
      </c>
      <c r="BQ46" s="18">
        <f>'Fixed Fee'!BZ63</f>
        <v>0</v>
      </c>
      <c r="BR46" s="18">
        <f>'Fixed Fee'!CA63</f>
        <v>0</v>
      </c>
      <c r="BS46" s="18">
        <f>'Fixed Fee'!CB63</f>
        <v>0</v>
      </c>
      <c r="BT46" s="18">
        <f>'Fixed Fee'!CC63</f>
        <v>0</v>
      </c>
      <c r="BU46" s="18">
        <f>'Fixed Fee'!CD63</f>
        <v>0</v>
      </c>
      <c r="BV46" s="18">
        <f>'Fixed Fee'!CE63</f>
        <v>0</v>
      </c>
      <c r="BW46" s="18">
        <f>'Fixed Fee'!CF63</f>
        <v>0</v>
      </c>
      <c r="BX46" s="18">
        <f>'Fixed Fee'!CG63</f>
        <v>0</v>
      </c>
      <c r="BY46" s="18">
        <f>'Fixed Fee'!CH63</f>
        <v>0</v>
      </c>
    </row>
    <row r="47" spans="1:77" s="43" customFormat="1" ht="13" x14ac:dyDescent="0.45">
      <c r="A47" s="46">
        <f>'Fixed Fee'!C64</f>
        <v>0</v>
      </c>
      <c r="B47" s="18">
        <f>'Fixed Fee'!K64</f>
        <v>0</v>
      </c>
      <c r="C47" s="18">
        <f>'Fixed Fee'!L64</f>
        <v>0</v>
      </c>
      <c r="D47" s="18">
        <f>'Fixed Fee'!M64</f>
        <v>0</v>
      </c>
      <c r="E47" s="18">
        <f>'Fixed Fee'!N64</f>
        <v>0</v>
      </c>
      <c r="F47" s="18">
        <f>'Fixed Fee'!O64</f>
        <v>0</v>
      </c>
      <c r="G47" s="18">
        <f>'Fixed Fee'!P64</f>
        <v>0</v>
      </c>
      <c r="H47" s="18">
        <f>'Fixed Fee'!Q64</f>
        <v>0</v>
      </c>
      <c r="I47" s="18">
        <f>'Fixed Fee'!R64</f>
        <v>0</v>
      </c>
      <c r="J47" s="18">
        <f>'Fixed Fee'!S64</f>
        <v>0</v>
      </c>
      <c r="K47" s="18">
        <f>'Fixed Fee'!T64</f>
        <v>0</v>
      </c>
      <c r="L47" s="18">
        <f>'Fixed Fee'!U64</f>
        <v>0</v>
      </c>
      <c r="M47" s="18">
        <f>'Fixed Fee'!V64</f>
        <v>0</v>
      </c>
      <c r="N47" s="18">
        <f>'Fixed Fee'!W64</f>
        <v>0</v>
      </c>
      <c r="O47" s="18">
        <f>'Fixed Fee'!X64</f>
        <v>0</v>
      </c>
      <c r="P47" s="18">
        <f>'Fixed Fee'!Y64</f>
        <v>0</v>
      </c>
      <c r="Q47" s="18">
        <f>'Fixed Fee'!Z64</f>
        <v>0</v>
      </c>
      <c r="R47" s="18">
        <f>'Fixed Fee'!AA64</f>
        <v>0</v>
      </c>
      <c r="S47" s="18">
        <f>'Fixed Fee'!AB64</f>
        <v>0</v>
      </c>
      <c r="T47" s="18">
        <f>'Fixed Fee'!AC64</f>
        <v>0</v>
      </c>
      <c r="U47" s="18">
        <f>'Fixed Fee'!AD64</f>
        <v>0</v>
      </c>
      <c r="V47" s="18">
        <f>'Fixed Fee'!AE64</f>
        <v>0</v>
      </c>
      <c r="W47" s="18">
        <f>'Fixed Fee'!AF64</f>
        <v>0</v>
      </c>
      <c r="X47" s="18">
        <f>'Fixed Fee'!AG64</f>
        <v>0</v>
      </c>
      <c r="Y47" s="18">
        <f>'Fixed Fee'!AH64</f>
        <v>0</v>
      </c>
      <c r="Z47" s="18">
        <f>'Fixed Fee'!AI64</f>
        <v>0</v>
      </c>
      <c r="AA47" s="18">
        <f>'Fixed Fee'!AJ64</f>
        <v>0</v>
      </c>
      <c r="AB47" s="18">
        <f>'Fixed Fee'!AK64</f>
        <v>0</v>
      </c>
      <c r="AC47" s="18">
        <f>'Fixed Fee'!AL64</f>
        <v>0</v>
      </c>
      <c r="AD47" s="18">
        <f>'Fixed Fee'!AM64</f>
        <v>0</v>
      </c>
      <c r="AE47" s="18">
        <f>'Fixed Fee'!AN64</f>
        <v>0</v>
      </c>
      <c r="AF47" s="18">
        <f>'Fixed Fee'!AO64</f>
        <v>0</v>
      </c>
      <c r="AG47" s="18">
        <f>'Fixed Fee'!AP64</f>
        <v>0</v>
      </c>
      <c r="AH47" s="18">
        <f>'Fixed Fee'!AQ64</f>
        <v>0</v>
      </c>
      <c r="AI47" s="18">
        <f>'Fixed Fee'!AR64</f>
        <v>0</v>
      </c>
      <c r="AJ47" s="18">
        <f>'Fixed Fee'!AS64</f>
        <v>0</v>
      </c>
      <c r="AK47" s="18">
        <f>'Fixed Fee'!AT64</f>
        <v>0</v>
      </c>
      <c r="AL47" s="18">
        <f>'Fixed Fee'!AU64</f>
        <v>0</v>
      </c>
      <c r="AM47" s="18">
        <f>'Fixed Fee'!AV64</f>
        <v>0</v>
      </c>
      <c r="AN47" s="18">
        <f>'Fixed Fee'!AW64</f>
        <v>0</v>
      </c>
      <c r="AO47" s="18">
        <f>'Fixed Fee'!AX64</f>
        <v>0</v>
      </c>
      <c r="AP47" s="18">
        <f>'Fixed Fee'!AY64</f>
        <v>0</v>
      </c>
      <c r="AQ47" s="18">
        <f>'Fixed Fee'!AZ64</f>
        <v>0</v>
      </c>
      <c r="AR47" s="18">
        <f>'Fixed Fee'!BA64</f>
        <v>0</v>
      </c>
      <c r="AS47" s="18">
        <f>'Fixed Fee'!BB64</f>
        <v>0</v>
      </c>
      <c r="AT47" s="18">
        <f>'Fixed Fee'!BC64</f>
        <v>0</v>
      </c>
      <c r="AU47" s="18">
        <f>'Fixed Fee'!BD64</f>
        <v>0</v>
      </c>
      <c r="AV47" s="18">
        <f>'Fixed Fee'!BE64</f>
        <v>0</v>
      </c>
      <c r="AW47" s="18">
        <f>'Fixed Fee'!BF64</f>
        <v>0</v>
      </c>
      <c r="AX47" s="18">
        <f>'Fixed Fee'!BG64</f>
        <v>0</v>
      </c>
      <c r="AY47" s="18">
        <f>'Fixed Fee'!BH64</f>
        <v>0</v>
      </c>
      <c r="AZ47" s="18">
        <f>'Fixed Fee'!BI64</f>
        <v>0</v>
      </c>
      <c r="BA47" s="18">
        <f>'Fixed Fee'!BJ64</f>
        <v>0</v>
      </c>
      <c r="BB47" s="18">
        <f>'Fixed Fee'!BK64</f>
        <v>0</v>
      </c>
      <c r="BC47" s="18">
        <f>'Fixed Fee'!BL64</f>
        <v>0</v>
      </c>
      <c r="BD47" s="18">
        <f>'Fixed Fee'!BM64</f>
        <v>0</v>
      </c>
      <c r="BE47" s="18">
        <f>'Fixed Fee'!BN64</f>
        <v>0</v>
      </c>
      <c r="BF47" s="18">
        <f>'Fixed Fee'!BO64</f>
        <v>0</v>
      </c>
      <c r="BG47" s="18">
        <f>'Fixed Fee'!BP64</f>
        <v>0</v>
      </c>
      <c r="BH47" s="18">
        <f>'Fixed Fee'!BQ64</f>
        <v>0</v>
      </c>
      <c r="BI47" s="18">
        <f>'Fixed Fee'!BR64</f>
        <v>0</v>
      </c>
      <c r="BJ47" s="18">
        <f>'Fixed Fee'!BS64</f>
        <v>0</v>
      </c>
      <c r="BK47" s="18">
        <f>'Fixed Fee'!BT64</f>
        <v>0</v>
      </c>
      <c r="BL47" s="18">
        <f>'Fixed Fee'!BU64</f>
        <v>0</v>
      </c>
      <c r="BM47" s="18">
        <f>'Fixed Fee'!BV64</f>
        <v>0</v>
      </c>
      <c r="BN47" s="18">
        <f>'Fixed Fee'!BW64</f>
        <v>0</v>
      </c>
      <c r="BO47" s="18">
        <f>'Fixed Fee'!BX64</f>
        <v>0</v>
      </c>
      <c r="BP47" s="18">
        <f>'Fixed Fee'!BY64</f>
        <v>0</v>
      </c>
      <c r="BQ47" s="18">
        <f>'Fixed Fee'!BZ64</f>
        <v>0</v>
      </c>
      <c r="BR47" s="18">
        <f>'Fixed Fee'!CA64</f>
        <v>0</v>
      </c>
      <c r="BS47" s="18">
        <f>'Fixed Fee'!CB64</f>
        <v>0</v>
      </c>
      <c r="BT47" s="18">
        <f>'Fixed Fee'!CC64</f>
        <v>0</v>
      </c>
      <c r="BU47" s="18">
        <f>'Fixed Fee'!CD64</f>
        <v>0</v>
      </c>
      <c r="BV47" s="18">
        <f>'Fixed Fee'!CE64</f>
        <v>0</v>
      </c>
      <c r="BW47" s="18">
        <f>'Fixed Fee'!CF64</f>
        <v>0</v>
      </c>
      <c r="BX47" s="18">
        <f>'Fixed Fee'!CG64</f>
        <v>0</v>
      </c>
      <c r="BY47" s="18">
        <f>'Fixed Fee'!CH64</f>
        <v>0</v>
      </c>
    </row>
    <row r="48" spans="1:77" s="43" customFormat="1" ht="13" x14ac:dyDescent="0.45">
      <c r="A48" s="46">
        <f>'Fixed Fee'!C65</f>
        <v>0</v>
      </c>
      <c r="B48" s="18">
        <f>'Fixed Fee'!K65</f>
        <v>0</v>
      </c>
      <c r="C48" s="18">
        <f>'Fixed Fee'!L65</f>
        <v>0</v>
      </c>
      <c r="D48" s="18">
        <f>'Fixed Fee'!M65</f>
        <v>0</v>
      </c>
      <c r="E48" s="18">
        <f>'Fixed Fee'!N65</f>
        <v>0</v>
      </c>
      <c r="F48" s="18">
        <f>'Fixed Fee'!O65</f>
        <v>0</v>
      </c>
      <c r="G48" s="18">
        <f>'Fixed Fee'!P65</f>
        <v>0</v>
      </c>
      <c r="H48" s="18">
        <f>'Fixed Fee'!Q65</f>
        <v>0</v>
      </c>
      <c r="I48" s="18">
        <f>'Fixed Fee'!R65</f>
        <v>0</v>
      </c>
      <c r="J48" s="18">
        <f>'Fixed Fee'!S65</f>
        <v>0</v>
      </c>
      <c r="K48" s="18">
        <f>'Fixed Fee'!T65</f>
        <v>0</v>
      </c>
      <c r="L48" s="18">
        <f>'Fixed Fee'!U65</f>
        <v>0</v>
      </c>
      <c r="M48" s="18">
        <f>'Fixed Fee'!V65</f>
        <v>0</v>
      </c>
      <c r="N48" s="18">
        <f>'Fixed Fee'!W65</f>
        <v>0</v>
      </c>
      <c r="O48" s="18">
        <f>'Fixed Fee'!X65</f>
        <v>0</v>
      </c>
      <c r="P48" s="18">
        <f>'Fixed Fee'!Y65</f>
        <v>0</v>
      </c>
      <c r="Q48" s="18">
        <f>'Fixed Fee'!Z65</f>
        <v>0</v>
      </c>
      <c r="R48" s="18">
        <f>'Fixed Fee'!AA65</f>
        <v>0</v>
      </c>
      <c r="S48" s="18">
        <f>'Fixed Fee'!AB65</f>
        <v>0</v>
      </c>
      <c r="T48" s="18">
        <f>'Fixed Fee'!AC65</f>
        <v>0</v>
      </c>
      <c r="U48" s="18">
        <f>'Fixed Fee'!AD65</f>
        <v>0</v>
      </c>
      <c r="V48" s="18">
        <f>'Fixed Fee'!AE65</f>
        <v>0</v>
      </c>
      <c r="W48" s="18">
        <f>'Fixed Fee'!AF65</f>
        <v>0</v>
      </c>
      <c r="X48" s="18">
        <f>'Fixed Fee'!AG65</f>
        <v>0</v>
      </c>
      <c r="Y48" s="18">
        <f>'Fixed Fee'!AH65</f>
        <v>0</v>
      </c>
      <c r="Z48" s="18">
        <f>'Fixed Fee'!AI65</f>
        <v>0</v>
      </c>
      <c r="AA48" s="18">
        <f>'Fixed Fee'!AJ65</f>
        <v>0</v>
      </c>
      <c r="AB48" s="18">
        <f>'Fixed Fee'!AK65</f>
        <v>0</v>
      </c>
      <c r="AC48" s="18">
        <f>'Fixed Fee'!AL65</f>
        <v>0</v>
      </c>
      <c r="AD48" s="18">
        <f>'Fixed Fee'!AM65</f>
        <v>0</v>
      </c>
      <c r="AE48" s="18">
        <f>'Fixed Fee'!AN65</f>
        <v>0</v>
      </c>
      <c r="AF48" s="18">
        <f>'Fixed Fee'!AO65</f>
        <v>0</v>
      </c>
      <c r="AG48" s="18">
        <f>'Fixed Fee'!AP65</f>
        <v>0</v>
      </c>
      <c r="AH48" s="18">
        <f>'Fixed Fee'!AQ65</f>
        <v>0</v>
      </c>
      <c r="AI48" s="18">
        <f>'Fixed Fee'!AR65</f>
        <v>0</v>
      </c>
      <c r="AJ48" s="18">
        <f>'Fixed Fee'!AS65</f>
        <v>0</v>
      </c>
      <c r="AK48" s="18">
        <f>'Fixed Fee'!AT65</f>
        <v>0</v>
      </c>
      <c r="AL48" s="18">
        <f>'Fixed Fee'!AU65</f>
        <v>0</v>
      </c>
      <c r="AM48" s="18">
        <f>'Fixed Fee'!AV65</f>
        <v>0</v>
      </c>
      <c r="AN48" s="18">
        <f>'Fixed Fee'!AW65</f>
        <v>0</v>
      </c>
      <c r="AO48" s="18">
        <f>'Fixed Fee'!AX65</f>
        <v>0</v>
      </c>
      <c r="AP48" s="18">
        <f>'Fixed Fee'!AY65</f>
        <v>0</v>
      </c>
      <c r="AQ48" s="18">
        <f>'Fixed Fee'!AZ65</f>
        <v>0</v>
      </c>
      <c r="AR48" s="18">
        <f>'Fixed Fee'!BA65</f>
        <v>0</v>
      </c>
      <c r="AS48" s="18">
        <f>'Fixed Fee'!BB65</f>
        <v>0</v>
      </c>
      <c r="AT48" s="18">
        <f>'Fixed Fee'!BC65</f>
        <v>0</v>
      </c>
      <c r="AU48" s="18">
        <f>'Fixed Fee'!BD65</f>
        <v>0</v>
      </c>
      <c r="AV48" s="18">
        <f>'Fixed Fee'!BE65</f>
        <v>0</v>
      </c>
      <c r="AW48" s="18">
        <f>'Fixed Fee'!BF65</f>
        <v>0</v>
      </c>
      <c r="AX48" s="18">
        <f>'Fixed Fee'!BG65</f>
        <v>0</v>
      </c>
      <c r="AY48" s="18">
        <f>'Fixed Fee'!BH65</f>
        <v>0</v>
      </c>
      <c r="AZ48" s="18">
        <f>'Fixed Fee'!BI65</f>
        <v>0</v>
      </c>
      <c r="BA48" s="18">
        <f>'Fixed Fee'!BJ65</f>
        <v>0</v>
      </c>
      <c r="BB48" s="18">
        <f>'Fixed Fee'!BK65</f>
        <v>0</v>
      </c>
      <c r="BC48" s="18">
        <f>'Fixed Fee'!BL65</f>
        <v>0</v>
      </c>
      <c r="BD48" s="18">
        <f>'Fixed Fee'!BM65</f>
        <v>0</v>
      </c>
      <c r="BE48" s="18">
        <f>'Fixed Fee'!BN65</f>
        <v>0</v>
      </c>
      <c r="BF48" s="18">
        <f>'Fixed Fee'!BO65</f>
        <v>0</v>
      </c>
      <c r="BG48" s="18">
        <f>'Fixed Fee'!BP65</f>
        <v>0</v>
      </c>
      <c r="BH48" s="18">
        <f>'Fixed Fee'!BQ65</f>
        <v>0</v>
      </c>
      <c r="BI48" s="18">
        <f>'Fixed Fee'!BR65</f>
        <v>0</v>
      </c>
      <c r="BJ48" s="18">
        <f>'Fixed Fee'!BS65</f>
        <v>0</v>
      </c>
      <c r="BK48" s="18">
        <f>'Fixed Fee'!BT65</f>
        <v>0</v>
      </c>
      <c r="BL48" s="18">
        <f>'Fixed Fee'!BU65</f>
        <v>0</v>
      </c>
      <c r="BM48" s="18">
        <f>'Fixed Fee'!BV65</f>
        <v>0</v>
      </c>
      <c r="BN48" s="18">
        <f>'Fixed Fee'!BW65</f>
        <v>0</v>
      </c>
      <c r="BO48" s="18">
        <f>'Fixed Fee'!BX65</f>
        <v>0</v>
      </c>
      <c r="BP48" s="18">
        <f>'Fixed Fee'!BY65</f>
        <v>0</v>
      </c>
      <c r="BQ48" s="18">
        <f>'Fixed Fee'!BZ65</f>
        <v>0</v>
      </c>
      <c r="BR48" s="18">
        <f>'Fixed Fee'!CA65</f>
        <v>0</v>
      </c>
      <c r="BS48" s="18">
        <f>'Fixed Fee'!CB65</f>
        <v>0</v>
      </c>
      <c r="BT48" s="18">
        <f>'Fixed Fee'!CC65</f>
        <v>0</v>
      </c>
      <c r="BU48" s="18">
        <f>'Fixed Fee'!CD65</f>
        <v>0</v>
      </c>
      <c r="BV48" s="18">
        <f>'Fixed Fee'!CE65</f>
        <v>0</v>
      </c>
      <c r="BW48" s="18">
        <f>'Fixed Fee'!CF65</f>
        <v>0</v>
      </c>
      <c r="BX48" s="18">
        <f>'Fixed Fee'!CG65</f>
        <v>0</v>
      </c>
      <c r="BY48" s="18">
        <f>'Fixed Fee'!CH65</f>
        <v>0</v>
      </c>
    </row>
  </sheetData>
  <mergeCells count="1">
    <mergeCell ref="A1:A2"/>
  </mergeCells>
  <dataValidations count="3">
    <dataValidation type="whole" allowBlank="1" showErrorMessage="1" errorTitle="Please enter a whole number" error="Numbers of hours per week must be a whole number, or blank." sqref="B3:BY24" xr:uid="{00000000-0002-0000-0700-000000000000}">
      <formula1>0</formula1>
      <formula2>80</formula2>
    </dataValidation>
    <dataValidation type="whole" allowBlank="1" showErrorMessage="1" errorTitle="Please enter a whole number" error="Enter whole days per week only." promptTitle="Please enter a whole number" prompt="Numbers of hours per week must be a whole number, or blank." sqref="B27:BY36" xr:uid="{00000000-0002-0000-0700-000001000000}">
      <formula1>0</formula1>
      <formula2>7</formula2>
    </dataValidation>
    <dataValidation allowBlank="1" showErrorMessage="1" sqref="B39:BY48" xr:uid="{00000000-0002-0000-0700-000002000000}"/>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4DAE66E50079243954584C12AB0181F" ma:contentTypeVersion="0" ma:contentTypeDescription="Create a new document." ma:contentTypeScope="" ma:versionID="c66378c71fe352446a68274ca236c0ab">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A0653E-CFCC-4F14-A6A0-71B27F47D6D2}">
  <ds:schemaRefs>
    <ds:schemaRef ds:uri="http://schemas.microsoft.com/sharepoint/v3/contenttype/forms"/>
  </ds:schemaRefs>
</ds:datastoreItem>
</file>

<file path=customXml/itemProps2.xml><?xml version="1.0" encoding="utf-8"?>
<ds:datastoreItem xmlns:ds="http://schemas.openxmlformats.org/officeDocument/2006/customXml" ds:itemID="{051C7B47-A2A9-450F-BBB4-8D8157CB7E4C}">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0E928632-2EC0-4A85-AB73-1AA3583AA6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FrontPage</vt:lpstr>
      <vt:lpstr>T&amp;M</vt:lpstr>
      <vt:lpstr>Fixed Fee</vt:lpstr>
      <vt:lpstr>QRM Checklist</vt:lpstr>
      <vt:lpstr>Firm Equivalent Help</vt:lpstr>
      <vt:lpstr>Data</vt:lpstr>
      <vt:lpstr>T&amp;M2</vt:lpstr>
      <vt:lpstr>FF2</vt:lpstr>
      <vt:lpstr>ContractType</vt:lpstr>
      <vt:lpstr>CPG</vt:lpstr>
      <vt:lpstr>DeptList</vt:lpstr>
      <vt:lpstr>EmplList</vt:lpstr>
      <vt:lpstr>EmplList3</vt:lpstr>
      <vt:lpstr>High_Tech</vt:lpstr>
      <vt:lpstr>Industrial</vt:lpstr>
      <vt:lpstr>Industry</vt:lpstr>
      <vt:lpstr>Level</vt:lpstr>
      <vt:lpstr>LevelNearShore</vt:lpstr>
      <vt:lpstr>LevelRates</vt:lpstr>
      <vt:lpstr>Life_Sciences</vt:lpstr>
      <vt:lpstr>NearShore</vt:lpstr>
      <vt:lpstr>Other</vt:lpstr>
      <vt:lpstr>FrontPage!Print_Area</vt:lpstr>
      <vt:lpstr>Relationship</vt:lpstr>
      <vt:lpstr>Retail</vt:lpstr>
      <vt:lpstr>'Fixed Fee'!RlznRate</vt:lpstr>
      <vt:lpstr>RlznRate</vt:lpstr>
      <vt:lpstr>SrMgrFellow</vt:lpstr>
      <vt:lpstr>States</vt:lpstr>
      <vt:lpstr>SvcArea</vt:lpstr>
    </vt:vector>
  </TitlesOfParts>
  <Company>Kalypso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Initiation Workbook Template</dc:title>
  <dc:creator>Timi Lynch</dc:creator>
  <cp:keywords>Modified by Eduardo Gzz</cp:keywords>
  <dc:description>Updated 07/08/2009</dc:description>
  <cp:lastModifiedBy>Tania Garrido</cp:lastModifiedBy>
  <cp:lastPrinted>2016-10-12T15:44:52Z</cp:lastPrinted>
  <dcterms:created xsi:type="dcterms:W3CDTF">2006-08-22T00:55:26Z</dcterms:created>
  <dcterms:modified xsi:type="dcterms:W3CDTF">2017-12-01T15:21:37Z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0x010100C4DAE66E50079243954584C12AB0181F</vt:lpwstr>
  </property>
</Properties>
</file>